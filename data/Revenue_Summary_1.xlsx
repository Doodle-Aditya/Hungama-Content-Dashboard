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itya\Agreement Tracker\data\"/>
    </mc:Choice>
  </mc:AlternateContent>
  <xr:revisionPtr revIDLastSave="0" documentId="13_ncr:1_{AD536D31-138A-4A59-9C11-30D439B4C78F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2014-15" sheetId="1" r:id="rId1"/>
    <sheet name="2015-16" sheetId="2" r:id="rId2"/>
    <sheet name="P&amp;L" sheetId="3" r:id="rId3"/>
    <sheet name="Reports Update" sheetId="4" r:id="rId4"/>
    <sheet name="Sheet2" sheetId="17" r:id="rId5"/>
    <sheet name="Payment Status" sheetId="5" r:id="rId6"/>
    <sheet name="Sound MG" sheetId="19" r:id="rId7"/>
    <sheet name="Motion Pixel" sheetId="6" r:id="rId8"/>
    <sheet name="PlanetVIX" sheetId="7" r:id="rId9"/>
    <sheet name="Magna Home Video" sheetId="10" r:id="rId10"/>
    <sheet name="Ssilver Screen" sheetId="8" r:id="rId11"/>
    <sheet name="PocketFilms" sheetId="11" r:id="rId12"/>
    <sheet name="Warrior Clan" sheetId="9" r:id="rId13"/>
    <sheet name="Morna Ent." sheetId="12" r:id="rId14"/>
    <sheet name="Nishi" sheetId="13" r:id="rId15"/>
    <sheet name="Tan Ta Dan" sheetId="14" r:id="rId16"/>
    <sheet name="Aakash Intl." sheetId="15" r:id="rId17"/>
    <sheet name="V3 Motion" sheetId="18" r:id="rId18"/>
  </sheets>
  <definedNames>
    <definedName name="_xlnm._FilterDatabase" localSheetId="0" hidden="1">'2014-15'!$A$3:$Q$51</definedName>
    <definedName name="_xlnm._FilterDatabase" localSheetId="16" hidden="1">'Aakash Intl.'!$W$1:$AC$1</definedName>
    <definedName name="_xlnm._FilterDatabase" localSheetId="3" hidden="1">'Reports Update'!$A$1:$U$2240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16" i="4" l="1"/>
  <c r="F2062" i="4" l="1"/>
  <c r="E2062" i="4"/>
  <c r="G1922" i="4" l="1"/>
  <c r="D38" i="19" l="1"/>
  <c r="C38" i="19"/>
  <c r="G1185" i="4" l="1"/>
  <c r="G1231" i="4"/>
  <c r="F2273" i="4" l="1"/>
  <c r="G2273" i="4" s="1"/>
  <c r="F2274" i="4" s="1"/>
  <c r="H2290" i="4" l="1"/>
  <c r="C12" i="19" l="1"/>
  <c r="J453" i="4" l="1"/>
  <c r="J455" i="4"/>
  <c r="J457" i="4"/>
  <c r="J458" i="4"/>
  <c r="J459" i="4"/>
  <c r="J460" i="4"/>
  <c r="J461" i="4"/>
  <c r="J462" i="4"/>
  <c r="J463" i="4"/>
  <c r="J464" i="4"/>
  <c r="J465" i="4"/>
  <c r="J466" i="4"/>
  <c r="J469" i="4"/>
  <c r="J472" i="4"/>
  <c r="J473" i="4"/>
  <c r="J475" i="4"/>
  <c r="J479" i="4"/>
  <c r="N22" i="7"/>
  <c r="H2286" i="4" l="1"/>
  <c r="H2287" i="4"/>
  <c r="N24" i="14"/>
  <c r="N23" i="14"/>
  <c r="N22" i="14"/>
  <c r="N21" i="14"/>
  <c r="N20" i="14"/>
  <c r="N19" i="14"/>
  <c r="N26" i="14" s="1"/>
  <c r="N18" i="14"/>
  <c r="N17" i="14"/>
  <c r="N13" i="14"/>
  <c r="F15" i="18"/>
  <c r="N10" i="18"/>
  <c r="N12" i="18"/>
  <c r="N13" i="18"/>
  <c r="N14" i="18"/>
  <c r="M15" i="18"/>
  <c r="L15" i="18"/>
  <c r="K15" i="18"/>
  <c r="J15" i="18"/>
  <c r="I15" i="18"/>
  <c r="H15" i="18"/>
  <c r="G15" i="18"/>
  <c r="E15" i="18"/>
  <c r="D15" i="18"/>
  <c r="C15" i="18"/>
  <c r="B15" i="18"/>
  <c r="M4" i="18"/>
  <c r="L4" i="18"/>
  <c r="K4" i="18"/>
  <c r="J4" i="18"/>
  <c r="I4" i="18"/>
  <c r="H4" i="18"/>
  <c r="G4" i="18"/>
  <c r="F4" i="18"/>
  <c r="E4" i="18"/>
  <c r="D4" i="18"/>
  <c r="B4" i="18"/>
  <c r="C4" i="18"/>
  <c r="N11" i="18"/>
  <c r="N3" i="18"/>
  <c r="E16" i="15"/>
  <c r="E21" i="15" s="1"/>
  <c r="D16" i="15"/>
  <c r="D21" i="15" s="1"/>
  <c r="C16" i="15"/>
  <c r="B16" i="15"/>
  <c r="B21" i="15" s="1"/>
  <c r="M21" i="15"/>
  <c r="L21" i="15"/>
  <c r="K21" i="15"/>
  <c r="J21" i="15"/>
  <c r="I21" i="15"/>
  <c r="H21" i="15"/>
  <c r="G21" i="15"/>
  <c r="F21" i="15"/>
  <c r="N20" i="15"/>
  <c r="N19" i="15"/>
  <c r="N18" i="15"/>
  <c r="N17" i="15"/>
  <c r="N15" i="15"/>
  <c r="D61" i="17"/>
  <c r="C61" i="17"/>
  <c r="C4" i="15"/>
  <c r="C9" i="15" s="1"/>
  <c r="M9" i="15"/>
  <c r="L9" i="15"/>
  <c r="K9" i="15"/>
  <c r="J9" i="15"/>
  <c r="I9" i="15"/>
  <c r="H9" i="15"/>
  <c r="G9" i="15"/>
  <c r="F9" i="15"/>
  <c r="E9" i="15"/>
  <c r="D9" i="15"/>
  <c r="B9" i="15"/>
  <c r="N8" i="15"/>
  <c r="N7" i="15"/>
  <c r="N6" i="15"/>
  <c r="N5" i="15"/>
  <c r="N3" i="15"/>
  <c r="N7" i="14"/>
  <c r="N3" i="14"/>
  <c r="N3" i="13"/>
  <c r="N9" i="9"/>
  <c r="G314" i="4"/>
  <c r="N14" i="9"/>
  <c r="E15" i="10"/>
  <c r="N15" i="10" s="1"/>
  <c r="D15" i="10"/>
  <c r="F16" i="7"/>
  <c r="E16" i="7"/>
  <c r="D16" i="7"/>
  <c r="N16" i="7" s="1"/>
  <c r="O3" i="12"/>
  <c r="H18" i="8"/>
  <c r="F67" i="4"/>
  <c r="F58" i="4"/>
  <c r="F45" i="4"/>
  <c r="F36" i="4"/>
  <c r="F31" i="4"/>
  <c r="F23" i="4"/>
  <c r="F19" i="4"/>
  <c r="F13" i="4"/>
  <c r="F5" i="4"/>
  <c r="F75" i="4"/>
  <c r="F88" i="4"/>
  <c r="F96" i="4"/>
  <c r="F118" i="4"/>
  <c r="F137" i="4"/>
  <c r="F143" i="4"/>
  <c r="F161" i="4"/>
  <c r="F183" i="4"/>
  <c r="F211" i="4"/>
  <c r="F233" i="4"/>
  <c r="F225" i="4"/>
  <c r="F241" i="4"/>
  <c r="F222" i="4"/>
  <c r="F221" i="4"/>
  <c r="F220" i="4"/>
  <c r="F216" i="4"/>
  <c r="F188" i="4"/>
  <c r="F145" i="4"/>
  <c r="F223" i="4"/>
  <c r="F242" i="4"/>
  <c r="F224" i="4"/>
  <c r="F236" i="4"/>
  <c r="F213" i="4"/>
  <c r="F197" i="4"/>
  <c r="F190" i="4"/>
  <c r="F189" i="4"/>
  <c r="F184" i="4"/>
  <c r="F144" i="4"/>
  <c r="F139" i="4"/>
  <c r="F116" i="4"/>
  <c r="F89" i="4"/>
  <c r="F80" i="4"/>
  <c r="F73" i="4"/>
  <c r="F57" i="4"/>
  <c r="F41" i="4"/>
  <c r="F30" i="4"/>
  <c r="F29" i="4"/>
  <c r="F17" i="4"/>
  <c r="G191" i="4"/>
  <c r="G177" i="4"/>
  <c r="G149" i="4"/>
  <c r="G133" i="4"/>
  <c r="G112" i="4"/>
  <c r="G147" i="4"/>
  <c r="F238" i="4"/>
  <c r="F215" i="4"/>
  <c r="F198" i="4"/>
  <c r="F187" i="4"/>
  <c r="F163" i="4"/>
  <c r="F157" i="4"/>
  <c r="F130" i="4"/>
  <c r="F115" i="4"/>
  <c r="F98" i="4"/>
  <c r="F39" i="4"/>
  <c r="F234" i="4"/>
  <c r="F212" i="4"/>
  <c r="F196" i="4"/>
  <c r="F180" i="4"/>
  <c r="F141" i="4"/>
  <c r="F126" i="4"/>
  <c r="F90" i="4"/>
  <c r="F76" i="4"/>
  <c r="F59" i="4"/>
  <c r="F42" i="4"/>
  <c r="F25" i="4"/>
  <c r="F24" i="4"/>
  <c r="F14" i="4"/>
  <c r="N20" i="6"/>
  <c r="N12" i="8"/>
  <c r="J9" i="8"/>
  <c r="N10" i="8"/>
  <c r="N11" i="8"/>
  <c r="I9" i="8"/>
  <c r="H9" i="8"/>
  <c r="K9" i="8"/>
  <c r="M9" i="8"/>
  <c r="L9" i="8"/>
  <c r="J23" i="8"/>
  <c r="N15" i="6"/>
  <c r="N10" i="7"/>
  <c r="G9" i="8"/>
  <c r="D9" i="8"/>
  <c r="E9" i="8"/>
  <c r="F9" i="8"/>
  <c r="C9" i="8"/>
  <c r="I10" i="10"/>
  <c r="D10" i="10"/>
  <c r="J10" i="10"/>
  <c r="K10" i="10"/>
  <c r="H10" i="10"/>
  <c r="G10" i="10"/>
  <c r="F10" i="10"/>
  <c r="E10" i="10"/>
  <c r="C10" i="10"/>
  <c r="B10" i="10"/>
  <c r="N4" i="11"/>
  <c r="N4" i="10"/>
  <c r="N4" i="9"/>
  <c r="N4" i="8"/>
  <c r="N4" i="7"/>
  <c r="N10" i="6"/>
  <c r="G4" i="6"/>
  <c r="O9" i="2"/>
  <c r="G6" i="3"/>
  <c r="G5" i="3"/>
  <c r="G8" i="3"/>
  <c r="O8" i="2"/>
  <c r="H7" i="3"/>
  <c r="E4" i="3"/>
  <c r="F15" i="3"/>
  <c r="H15" i="3" s="1"/>
  <c r="F14" i="3"/>
  <c r="H14" i="3" s="1"/>
  <c r="F8" i="3"/>
  <c r="H8" i="3" s="1"/>
  <c r="F13" i="3"/>
  <c r="H13" i="3"/>
  <c r="F6" i="3"/>
  <c r="F5" i="3"/>
  <c r="O4" i="2"/>
  <c r="O5" i="2"/>
  <c r="O6" i="2"/>
  <c r="O7" i="2"/>
  <c r="O10" i="2"/>
  <c r="O11" i="2"/>
  <c r="O12" i="2"/>
  <c r="O13" i="2"/>
  <c r="O14" i="2"/>
  <c r="O3" i="2"/>
  <c r="P41" i="1"/>
  <c r="P40" i="1"/>
  <c r="P33" i="1"/>
  <c r="P28" i="1"/>
  <c r="P24" i="1"/>
  <c r="P17" i="1"/>
  <c r="P10" i="1"/>
  <c r="P53" i="1" l="1"/>
  <c r="N4" i="18"/>
  <c r="N10" i="10"/>
  <c r="N15" i="18"/>
  <c r="N9" i="8"/>
  <c r="N4" i="15"/>
  <c r="N9" i="15"/>
  <c r="N16" i="15"/>
  <c r="C21" i="15"/>
  <c r="N2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Ashok Singh</author>
  </authors>
  <commentList>
    <comment ref="G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ttl rev Reliance - 19384</t>
        </r>
      </text>
    </comment>
    <comment ref="G1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Ttl rev Reliance 21902</t>
        </r>
      </text>
    </comment>
    <comment ref="G2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Ttl rev. Reliance - 2107</t>
        </r>
      </text>
    </comment>
    <comment ref="B8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B8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B9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B9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B9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B93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B126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H.com(BSNL) Jul-Sept'17
H.com(Dom+Intl) Sept-Nov'17</t>
        </r>
      </text>
    </comment>
    <comment ref="H780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Ashok Singh:</t>
        </r>
        <r>
          <rPr>
            <sz val="9"/>
            <color indexed="81"/>
            <rFont val="Tahoma"/>
            <family val="2"/>
          </rPr>
          <t xml:space="preserve">
revised reports</t>
        </r>
      </text>
    </comment>
  </commentList>
</comments>
</file>

<file path=xl/sharedStrings.xml><?xml version="1.0" encoding="utf-8"?>
<sst xmlns="http://schemas.openxmlformats.org/spreadsheetml/2006/main" count="10478" uniqueCount="928">
  <si>
    <t>CB Revenue 2014 - 15</t>
  </si>
  <si>
    <t>Label Managers</t>
  </si>
  <si>
    <t>April '14</t>
  </si>
  <si>
    <t>May '14</t>
  </si>
  <si>
    <t>June '14</t>
  </si>
  <si>
    <t>July '14</t>
  </si>
  <si>
    <t>Aug '14</t>
  </si>
  <si>
    <t>Sept '14</t>
  </si>
  <si>
    <t>Oct '14</t>
  </si>
  <si>
    <t>Nov '14</t>
  </si>
  <si>
    <t>Dec '14</t>
  </si>
  <si>
    <t>Jan '15</t>
  </si>
  <si>
    <t>Feb '15</t>
  </si>
  <si>
    <t>Mar '15</t>
  </si>
  <si>
    <t>Total 2014-15</t>
  </si>
  <si>
    <t>Alf Digital</t>
  </si>
  <si>
    <t>Alpha Digitech</t>
  </si>
  <si>
    <t>Captain Video Pvt. Ltd.</t>
  </si>
  <si>
    <t>Cinematics Corporation</t>
  </si>
  <si>
    <t>Darubramha Production</t>
  </si>
  <si>
    <t>East Coast</t>
  </si>
  <si>
    <t>Grazing Goat Pictures Private Limited</t>
  </si>
  <si>
    <t>Sabina</t>
  </si>
  <si>
    <t>paid -up completely</t>
  </si>
  <si>
    <t>Indiacast</t>
  </si>
  <si>
    <t>K K Make</t>
  </si>
  <si>
    <t>Kasper Digital</t>
  </si>
  <si>
    <t>Kavithalaya</t>
  </si>
  <si>
    <t>Krishna Audios</t>
  </si>
  <si>
    <t>Living Media</t>
  </si>
  <si>
    <t>Magna Home Video</t>
  </si>
  <si>
    <t>Meshwa Electronics</t>
  </si>
  <si>
    <t>Motion Pixels</t>
  </si>
  <si>
    <t>Movie Tee Vee Enterprises</t>
  </si>
  <si>
    <t>Objectone (telegu)</t>
  </si>
  <si>
    <t>Om Sai (telegu)</t>
  </si>
  <si>
    <t>Osiris Entertainment</t>
  </si>
  <si>
    <t>Percept Pictures Company</t>
  </si>
  <si>
    <t>no payment required</t>
  </si>
  <si>
    <t>R S music</t>
  </si>
  <si>
    <t>R. K. Duggal Studios</t>
  </si>
  <si>
    <t>Rajshri Entertainment Private Limited</t>
  </si>
  <si>
    <t>Reliance Big Entertainment Pvt. Ltd.</t>
  </si>
  <si>
    <t>Sanskar Video Gallery (Art Video)</t>
  </si>
  <si>
    <t>Shemaroo Entertainment Ltd.</t>
  </si>
  <si>
    <t>Shri Krishna Cassettes</t>
  </si>
  <si>
    <t>Silly Monk Entertainment Pvt. Ltd.</t>
  </si>
  <si>
    <t>Sound Entertainment</t>
  </si>
  <si>
    <t>SRK Media Entertainment</t>
  </si>
  <si>
    <t>Star Entertainment Pvt. Ltd.</t>
  </si>
  <si>
    <t>Sun Televideo</t>
  </si>
  <si>
    <t>T-Series</t>
  </si>
  <si>
    <t>Ultra Home Video</t>
  </si>
  <si>
    <t>UTV Software Communication Ltd.</t>
  </si>
  <si>
    <t>V Hunt Digital Media Private Limited</t>
  </si>
  <si>
    <t>Vega Entertainment</t>
  </si>
  <si>
    <t>Warner Brothers</t>
  </si>
  <si>
    <t>Warrior Clan Mobipixels</t>
  </si>
  <si>
    <t>Yash Raj Films Pvt.Ltd.</t>
  </si>
  <si>
    <t>Aananda Audio Video</t>
  </si>
  <si>
    <t xml:space="preserve">Mukta Arts </t>
  </si>
  <si>
    <t>Times Music (EXPIRED)</t>
  </si>
  <si>
    <t>CB Revenue 2015-16</t>
  </si>
  <si>
    <t>April '15</t>
  </si>
  <si>
    <t>May '15</t>
  </si>
  <si>
    <t>June '15</t>
  </si>
  <si>
    <t>July '15</t>
  </si>
  <si>
    <t>Aug '15</t>
  </si>
  <si>
    <t>Sept '15</t>
  </si>
  <si>
    <t>Oct '15</t>
  </si>
  <si>
    <t>Nov '15</t>
  </si>
  <si>
    <t>Dec '15</t>
  </si>
  <si>
    <t>Jan '16</t>
  </si>
  <si>
    <t>Feb '16</t>
  </si>
  <si>
    <t>Mar '16</t>
  </si>
  <si>
    <t>Total 2015-16</t>
  </si>
  <si>
    <t>Evergreen</t>
  </si>
  <si>
    <t xml:space="preserve">Grazing Goat </t>
  </si>
  <si>
    <t>Motion Pixel</t>
  </si>
  <si>
    <t>Percept Pictures</t>
  </si>
  <si>
    <t>Reliance Big Ent.</t>
  </si>
  <si>
    <t>Sound Ent.</t>
  </si>
  <si>
    <t>Ssilver Screenn</t>
  </si>
  <si>
    <t>V Hunt Digital</t>
  </si>
  <si>
    <t>Vega Ent.</t>
  </si>
  <si>
    <t>Warrior Clan</t>
  </si>
  <si>
    <t>Profit &amp; Loss for 2015 - 16</t>
  </si>
  <si>
    <t>Start Date</t>
  </si>
  <si>
    <t>End Date</t>
  </si>
  <si>
    <t>Term of Agreement</t>
  </si>
  <si>
    <t>MG Amt (INR)</t>
  </si>
  <si>
    <t>Total Earned  (2014-15)</t>
  </si>
  <si>
    <r>
      <t xml:space="preserve">Total Earned  (2015-16) </t>
    </r>
    <r>
      <rPr>
        <sz val="11"/>
        <color theme="1"/>
        <rFont val="Calibri"/>
        <family val="2"/>
        <scheme val="minor"/>
      </rPr>
      <t>reports till July 2015</t>
    </r>
  </si>
  <si>
    <t>Yet to recover</t>
  </si>
  <si>
    <t>60 months</t>
  </si>
  <si>
    <t>36 months</t>
  </si>
  <si>
    <t>15 months</t>
  </si>
  <si>
    <t>24 months</t>
  </si>
  <si>
    <t>Expired</t>
  </si>
  <si>
    <t>TV Studios</t>
  </si>
  <si>
    <t>Period</t>
  </si>
  <si>
    <t>Operator</t>
  </si>
  <si>
    <t>Vector</t>
  </si>
  <si>
    <t>Stream Count</t>
  </si>
  <si>
    <t>Net Revenue</t>
  </si>
  <si>
    <t>Payout amount</t>
  </si>
  <si>
    <t>Report Date</t>
  </si>
  <si>
    <t>Approval to MIS</t>
  </si>
  <si>
    <t>Approval from Finance</t>
  </si>
  <si>
    <t>Approval Phase</t>
  </si>
  <si>
    <t>Shared with CP</t>
  </si>
  <si>
    <t>Invoice no.</t>
  </si>
  <si>
    <t>Invoice Date</t>
  </si>
  <si>
    <t>Invoice Amt.</t>
  </si>
  <si>
    <t>Invoice recd. Date</t>
  </si>
  <si>
    <t>Invoice submission date</t>
  </si>
  <si>
    <t>Paid Amt</t>
  </si>
  <si>
    <t>Chq no.</t>
  </si>
  <si>
    <t>Chq. recd date</t>
  </si>
  <si>
    <t>remarks</t>
  </si>
  <si>
    <t>One Take Media (Pocket Films)</t>
  </si>
  <si>
    <t>Apr 15 - May 15</t>
  </si>
  <si>
    <t>IDEA</t>
  </si>
  <si>
    <t>Wap</t>
  </si>
  <si>
    <t>CD006</t>
  </si>
  <si>
    <t>June 15 - July 15</t>
  </si>
  <si>
    <t>Apr 15 - Jul 15</t>
  </si>
  <si>
    <t>CB</t>
  </si>
  <si>
    <t>Web</t>
  </si>
  <si>
    <t>Apr 15</t>
  </si>
  <si>
    <t>Aug 15 - Oct 15</t>
  </si>
  <si>
    <t>Sept 15 - Oct 15</t>
  </si>
  <si>
    <t>VODAFONE</t>
  </si>
  <si>
    <t>Aug 15 - Jan 16</t>
  </si>
  <si>
    <t>Warrior Clan Mobipixel_Movie</t>
  </si>
  <si>
    <t>Jan 16 - Feb 16</t>
  </si>
  <si>
    <t>Feb 16 - Mar 16</t>
  </si>
  <si>
    <t>Living Media India Ltd.</t>
  </si>
  <si>
    <t>Apr 16 - May 16</t>
  </si>
  <si>
    <t>Apr16 pt-1</t>
  </si>
  <si>
    <t>MHB/2016-17/01</t>
  </si>
  <si>
    <t>April 16</t>
  </si>
  <si>
    <t>May 16</t>
  </si>
  <si>
    <t>May16 pt-1</t>
  </si>
  <si>
    <t>CD013</t>
  </si>
  <si>
    <t>Sony Pictures Networks India Pvt. Ltd._Movie</t>
  </si>
  <si>
    <t>Aug 16 - Sept 16</t>
  </si>
  <si>
    <t>Phase 7</t>
  </si>
  <si>
    <t>Oct 16 - Dec 16</t>
  </si>
  <si>
    <t>Phase 9</t>
  </si>
  <si>
    <t>Tanweer Films (24 films)</t>
  </si>
  <si>
    <t>Star India Pvt. Ltd.(Maa TV)</t>
  </si>
  <si>
    <t>Echelon Studios</t>
  </si>
  <si>
    <t>-</t>
  </si>
  <si>
    <t>Aug 16 - Feb 17</t>
  </si>
  <si>
    <t>App</t>
  </si>
  <si>
    <t>Phase 11</t>
  </si>
  <si>
    <t>BBC Worldwide</t>
  </si>
  <si>
    <t>ITV Studios</t>
  </si>
  <si>
    <t>Lagardere Studios</t>
  </si>
  <si>
    <t>Off The Fence</t>
  </si>
  <si>
    <t>Pitch International</t>
  </si>
  <si>
    <t>Planet VIX - The Independent Film Co.</t>
  </si>
  <si>
    <t>Jan 17 - Mar 17</t>
  </si>
  <si>
    <t>Mar 17</t>
  </si>
  <si>
    <t>No Approvals for expired content report</t>
  </si>
  <si>
    <t>Jul 17 - Aug 17</t>
  </si>
  <si>
    <t>Phase 6</t>
  </si>
  <si>
    <t>MHB/2017-18/01</t>
  </si>
  <si>
    <t>Apr 17 - Aug 17</t>
  </si>
  <si>
    <t>Warrior Clan Mobipixel</t>
  </si>
  <si>
    <t>Phase 4</t>
  </si>
  <si>
    <t>Aug 17</t>
  </si>
  <si>
    <t>AIRTEL</t>
  </si>
  <si>
    <t>Jul 17 - Nov 17</t>
  </si>
  <si>
    <t>AIRCEL</t>
  </si>
  <si>
    <t>Aug 17 - Oct 17</t>
  </si>
  <si>
    <t>Sept 17 - Oct 17</t>
  </si>
  <si>
    <t>Phase 5</t>
  </si>
  <si>
    <t>Apr 17 - Oct 17</t>
  </si>
  <si>
    <t>CB/ Vplay</t>
  </si>
  <si>
    <t>for correction</t>
  </si>
  <si>
    <t>Red Bull Media House GmbH</t>
  </si>
  <si>
    <t>Tanweer Films (53 films)</t>
  </si>
  <si>
    <t>for correction/ Christmas Babes</t>
  </si>
  <si>
    <t>Frog Unlimited</t>
  </si>
  <si>
    <t>Creative Gypsy</t>
  </si>
  <si>
    <t>Nov 17 - Jan 18</t>
  </si>
  <si>
    <t>correction - show names missing</t>
  </si>
  <si>
    <t>TV Today (Living Media)</t>
  </si>
  <si>
    <t>Paizology Pvt. Ltd.</t>
  </si>
  <si>
    <t>Dec 17 - Jan 18</t>
  </si>
  <si>
    <t>correction - mg no rev share to be calculated</t>
  </si>
  <si>
    <t>Street Smart Productions</t>
  </si>
  <si>
    <t>Web/ App</t>
  </si>
  <si>
    <t>Phase 9a</t>
  </si>
  <si>
    <t>Dec 17</t>
  </si>
  <si>
    <t>Nov 17 - Dec 17</t>
  </si>
  <si>
    <t>Dec 17  - Jan 18</t>
  </si>
  <si>
    <t>Jan 18 - Feb 18</t>
  </si>
  <si>
    <t>Feb 18 - Mar 18</t>
  </si>
  <si>
    <t>Mar 18</t>
  </si>
  <si>
    <t>Phase 10</t>
  </si>
  <si>
    <t>Apr 18 - May 18</t>
  </si>
  <si>
    <t>Ph1-FY18-19</t>
  </si>
  <si>
    <t>NA</t>
  </si>
  <si>
    <t>Chilsag Media Pvt. Ltd.</t>
  </si>
  <si>
    <t>Dec 17  - May 18</t>
  </si>
  <si>
    <t>Giant Dreamworks (P) Ltd.</t>
  </si>
  <si>
    <t>ICM Entertainment Pvt Ltd</t>
  </si>
  <si>
    <t>Jass Muvies</t>
  </si>
  <si>
    <t>Cutting Coffee Films</t>
  </si>
  <si>
    <t>Morna Entertainment</t>
  </si>
  <si>
    <t>Nishi Malhotra</t>
  </si>
  <si>
    <t>Revolutionnare Picture Productions</t>
  </si>
  <si>
    <t>Studio 39</t>
  </si>
  <si>
    <t>Jun 18 - Aug 18</t>
  </si>
  <si>
    <t>Vplay</t>
  </si>
  <si>
    <t>Ph3-FY18-19</t>
  </si>
  <si>
    <t>Aakash International</t>
  </si>
  <si>
    <t>Apr 18 - Jun 18</t>
  </si>
  <si>
    <t>Web &amp; App</t>
  </si>
  <si>
    <t>AI/18-19/144</t>
  </si>
  <si>
    <t>Hakikat Entertainment</t>
  </si>
  <si>
    <t>May 17 - Jun 18</t>
  </si>
  <si>
    <t>CB &amp; Wynk</t>
  </si>
  <si>
    <t xml:space="preserve">Aakash International </t>
  </si>
  <si>
    <t>Jun 18 - Sept 18</t>
  </si>
  <si>
    <t>Ph4-FY18-19</t>
  </si>
  <si>
    <t>Juventud Digital Media Pvt. Ltd. (Vice India)</t>
  </si>
  <si>
    <t>Lokmat Media Pvt Ltd</t>
  </si>
  <si>
    <t>Sept 18</t>
  </si>
  <si>
    <t>Evergreen Entertainment</t>
  </si>
  <si>
    <t>Reliance Broadcast Network Limited</t>
  </si>
  <si>
    <t>Apr 18 - Sept 18</t>
  </si>
  <si>
    <t>DIALOG</t>
  </si>
  <si>
    <t>Wynk</t>
  </si>
  <si>
    <t>Reliance Jio</t>
  </si>
  <si>
    <t>Ph5-FY18-19</t>
  </si>
  <si>
    <t>Jul 18 - Aug 18</t>
  </si>
  <si>
    <t>Apple Music/ itune</t>
  </si>
  <si>
    <t>Aug 18 - Oct 18</t>
  </si>
  <si>
    <t>QANAWAT</t>
  </si>
  <si>
    <t>CRBT</t>
  </si>
  <si>
    <t>Nov 17 - Mar 18</t>
  </si>
  <si>
    <t>H.Com</t>
  </si>
  <si>
    <t>HMusic</t>
  </si>
  <si>
    <t>Sept 18 - Nov 18</t>
  </si>
  <si>
    <t>Oct 18 - Nov 18</t>
  </si>
  <si>
    <t>Nov 18 - Dec 18</t>
  </si>
  <si>
    <t>Gaana</t>
  </si>
  <si>
    <t>Ph6-FY18-19</t>
  </si>
  <si>
    <t>Ph6 FY18-19</t>
  </si>
  <si>
    <t>Oct 18 - Dec 18</t>
  </si>
  <si>
    <t>Hplay/ Vplay</t>
  </si>
  <si>
    <t>Hub Media</t>
  </si>
  <si>
    <t>Nelvana</t>
  </si>
  <si>
    <t>Raydar Media</t>
  </si>
  <si>
    <t>Winsing</t>
  </si>
  <si>
    <t>Dec 18</t>
  </si>
  <si>
    <t>Dec 18 - Jan 19</t>
  </si>
  <si>
    <t>Jan 19</t>
  </si>
  <si>
    <t>Feb 19</t>
  </si>
  <si>
    <t>Ph7-FY18-19</t>
  </si>
  <si>
    <t>Jan 19 - Mar 19</t>
  </si>
  <si>
    <t>Evelight Production</t>
  </si>
  <si>
    <t>Tan Ta Dan Production</t>
  </si>
  <si>
    <t>Tanweer Films (23 films)</t>
  </si>
  <si>
    <t>V3 Motions</t>
  </si>
  <si>
    <t>Ph7 FY19-20</t>
  </si>
  <si>
    <t>Mar 19</t>
  </si>
  <si>
    <t>Apple Music/ iTune</t>
  </si>
  <si>
    <t>Aardman</t>
  </si>
  <si>
    <t>Hplay</t>
  </si>
  <si>
    <t>Alpha Animation</t>
  </si>
  <si>
    <t>Ankama</t>
  </si>
  <si>
    <t>BBCW (Cbeebies)</t>
  </si>
  <si>
    <t>Hasbro</t>
  </si>
  <si>
    <t>Sonic Octave</t>
  </si>
  <si>
    <t>Sparky Animation</t>
  </si>
  <si>
    <t>Toonz Entertainment</t>
  </si>
  <si>
    <t>ti</t>
  </si>
  <si>
    <t>Xilam Animation</t>
  </si>
  <si>
    <t>Sound Entertainment (Royalty)</t>
  </si>
  <si>
    <t>Ph7 -FY18-19</t>
  </si>
  <si>
    <t>Apr 19</t>
  </si>
  <si>
    <t>Ph1-FY19-20</t>
  </si>
  <si>
    <t>Kirti Motion Pictures</t>
  </si>
  <si>
    <t>Naatak Entertainment</t>
  </si>
  <si>
    <t>May 19</t>
  </si>
  <si>
    <t>JIO_Saavn</t>
  </si>
  <si>
    <t>Ph8 -FY18-19</t>
  </si>
  <si>
    <t>Apr 19 - May 19</t>
  </si>
  <si>
    <t>Apr 19 - Jun 19</t>
  </si>
  <si>
    <t>Ph1 FY19-20</t>
  </si>
  <si>
    <t>June 19</t>
  </si>
  <si>
    <t>Amazon Music</t>
  </si>
  <si>
    <t>Ph2-FY19-20</t>
  </si>
  <si>
    <t>July 19</t>
  </si>
  <si>
    <t>Aug 19</t>
  </si>
  <si>
    <t>Sept 19 - Oct 19</t>
  </si>
  <si>
    <t>Apr 19 - July 19</t>
  </si>
  <si>
    <t>HPlay</t>
  </si>
  <si>
    <t>BBC Studios Distn. Ltd.</t>
  </si>
  <si>
    <t>to be merged as one</t>
  </si>
  <si>
    <t>video &amp; short film report??</t>
  </si>
  <si>
    <t>Sound Entertainment (MG)</t>
  </si>
  <si>
    <t>Ph2FY20</t>
  </si>
  <si>
    <t>Tanweer reports to be seprated as per deals</t>
  </si>
  <si>
    <t>Ph2 FY 20-21</t>
  </si>
  <si>
    <t>Ph3-FY19-20</t>
  </si>
  <si>
    <t>Ph3FY20</t>
  </si>
  <si>
    <t>Sept 19</t>
  </si>
  <si>
    <t>Giant DreamWorks (P) Ltd.</t>
  </si>
  <si>
    <t>Mad Hatters</t>
  </si>
  <si>
    <t>Universal Studio Ltd.</t>
  </si>
  <si>
    <t>Ph3 FY 20-21</t>
  </si>
  <si>
    <t>Ph4-FY19-20</t>
  </si>
  <si>
    <t>Ph4FY20</t>
  </si>
  <si>
    <t>Oct 19</t>
  </si>
  <si>
    <t>July 19 - Oct 19</t>
  </si>
  <si>
    <t>Nov 19</t>
  </si>
  <si>
    <t>Aug 19 - Oct 19</t>
  </si>
  <si>
    <t>Sept 19 - Nov 19</t>
  </si>
  <si>
    <t>Ph5-FY19-20</t>
  </si>
  <si>
    <t>re-check</t>
  </si>
  <si>
    <t>First Step Entertinment</t>
  </si>
  <si>
    <t>May 19 - Aug 19</t>
  </si>
  <si>
    <t>full report from May'19</t>
  </si>
  <si>
    <t>iRealities Technology</t>
  </si>
  <si>
    <t>full report from April'19</t>
  </si>
  <si>
    <t>Ph4 FY 20-21</t>
  </si>
  <si>
    <t>MAC Creation</t>
  </si>
  <si>
    <t>Dec 19</t>
  </si>
  <si>
    <t>Sept 19 - Dec 19</t>
  </si>
  <si>
    <t>Apr 19 - Aug 19</t>
  </si>
  <si>
    <t>Apr 19 - Sept 19</t>
  </si>
  <si>
    <t>Dec 19 - Jan 20</t>
  </si>
  <si>
    <t>special approval</t>
  </si>
  <si>
    <t>BBC Studios (Cbeebies)</t>
  </si>
  <si>
    <t>SV20-21/02</t>
  </si>
  <si>
    <t>Ph5FY20</t>
  </si>
  <si>
    <t>Tanweer Films (35 films)</t>
  </si>
  <si>
    <t>Balaji Tele Films</t>
  </si>
  <si>
    <t>Jan 20</t>
  </si>
  <si>
    <t>PVR Pictures</t>
  </si>
  <si>
    <t>Warner Bros (TVOD)</t>
  </si>
  <si>
    <t>Many Faced TV Production</t>
  </si>
  <si>
    <t>June 19 - Jan 20</t>
  </si>
  <si>
    <t>RRR Prodtn. &amp; Ent.</t>
  </si>
  <si>
    <t>Apr 18 - Jan 20</t>
  </si>
  <si>
    <t>Jan 20 - Feb 20</t>
  </si>
  <si>
    <t>Feb 20</t>
  </si>
  <si>
    <t>Mar 20</t>
  </si>
  <si>
    <t>Dec 19 - Feb 20</t>
  </si>
  <si>
    <t>Ph6FY20</t>
  </si>
  <si>
    <t>Feb 20 - Mar 20</t>
  </si>
  <si>
    <t>Contentino Entertainment</t>
  </si>
  <si>
    <t>Ph6-FY19-20</t>
  </si>
  <si>
    <t>Nikhil Sangha</t>
  </si>
  <si>
    <t>Hakikat Entertainment Pvt. Ltd</t>
  </si>
  <si>
    <t>Tan Ta Dan Production Pvt Ltd</t>
  </si>
  <si>
    <t>Ground Zero Inc</t>
  </si>
  <si>
    <t>Dec 19 - Mar 20</t>
  </si>
  <si>
    <t>Karan Srinivas</t>
  </si>
  <si>
    <t>Sept 19 - Mar 20</t>
  </si>
  <si>
    <t>Lovely World Ent.</t>
  </si>
  <si>
    <t>Zoland Animation</t>
  </si>
  <si>
    <t>Nov 19 - Feb 20</t>
  </si>
  <si>
    <t>Apr 20 - 8Jun20</t>
  </si>
  <si>
    <t>Apr 20 - May 20</t>
  </si>
  <si>
    <t>Apr 20</t>
  </si>
  <si>
    <t>May 20</t>
  </si>
  <si>
    <t>BBC Studios</t>
  </si>
  <si>
    <t>Ph1-FY20-21</t>
  </si>
  <si>
    <t>Dilip Sood Films</t>
  </si>
  <si>
    <t>mailed shilpa for approval 6Apr21</t>
  </si>
  <si>
    <t>Shilpa approved on mail</t>
  </si>
  <si>
    <t>s</t>
  </si>
  <si>
    <t>Ashish Desai</t>
  </si>
  <si>
    <t>Jun 20 - Aug 20</t>
  </si>
  <si>
    <t>Bhakti World Foundation</t>
  </si>
  <si>
    <t>Ph2-FY20-21</t>
  </si>
  <si>
    <t>CineShorts Premiere</t>
  </si>
  <si>
    <t>Ph1&amp;2-FY20-21</t>
  </si>
  <si>
    <t>Ph1&amp;2FY20-21</t>
  </si>
  <si>
    <t>Dropout Media</t>
  </si>
  <si>
    <t>InfoPluto Media</t>
  </si>
  <si>
    <t>MovieFlex Entertainment</t>
  </si>
  <si>
    <t>Ph2-FY-21</t>
  </si>
  <si>
    <t>Rohit Roy Productions</t>
  </si>
  <si>
    <t>SV20-21/04</t>
  </si>
  <si>
    <t>Tan Ta Dan Productions</t>
  </si>
  <si>
    <t>Tanweer Films</t>
  </si>
  <si>
    <t>?</t>
  </si>
  <si>
    <t>Sept 20 - Oct 20</t>
  </si>
  <si>
    <t>Ph4-FY20-21</t>
  </si>
  <si>
    <t>Ph4FY20-21</t>
  </si>
  <si>
    <t>Ph4-FY-21</t>
  </si>
  <si>
    <t>Fh4-FY20-21</t>
  </si>
  <si>
    <t>Zoom Studios</t>
  </si>
  <si>
    <t>K Studios</t>
  </si>
  <si>
    <t>Oct 20 - Nov 20</t>
  </si>
  <si>
    <t>Nov 20</t>
  </si>
  <si>
    <t>Ph6-FY20-21</t>
  </si>
  <si>
    <t>Dosut Films</t>
  </si>
  <si>
    <t>Dec20 - Jan21</t>
  </si>
  <si>
    <t>Ph7-FY20-21</t>
  </si>
  <si>
    <t>Ph7FY20-21</t>
  </si>
  <si>
    <t>Ph7-FY-21</t>
  </si>
  <si>
    <t>Fh7-FY20-21</t>
  </si>
  <si>
    <t>Feb21</t>
  </si>
  <si>
    <t>Ph8-FY20-21</t>
  </si>
  <si>
    <t>Ph8-FY-21</t>
  </si>
  <si>
    <t>Fh8-FY20-21</t>
  </si>
  <si>
    <t>Mar21</t>
  </si>
  <si>
    <t>Indian New Wave</t>
  </si>
  <si>
    <t>Infilms Productions Inc.</t>
  </si>
  <si>
    <t>Kumar A</t>
  </si>
  <si>
    <t>Ph9-FY20-21</t>
  </si>
  <si>
    <t>Mayura Vijay Pradhan</t>
  </si>
  <si>
    <t>Ph9-FY-21</t>
  </si>
  <si>
    <t>Prayag Media</t>
  </si>
  <si>
    <t>Fh9-FY20-21</t>
  </si>
  <si>
    <t>Apr21</t>
  </si>
  <si>
    <t>Lotpot Films</t>
  </si>
  <si>
    <t>Ph1-FY21-22</t>
  </si>
  <si>
    <t>Ph1-FY-22</t>
  </si>
  <si>
    <t>Cine Act1 Productions</t>
  </si>
  <si>
    <t>Feb21 - Apr21</t>
  </si>
  <si>
    <t>Yash Razwardhan</t>
  </si>
  <si>
    <t>May20 - Mar21</t>
  </si>
  <si>
    <t>May21</t>
  </si>
  <si>
    <t>Natak Entertainment</t>
  </si>
  <si>
    <t>Play???</t>
  </si>
  <si>
    <t>Baanyan Tree Production</t>
  </si>
  <si>
    <t>N. V. Creations</t>
  </si>
  <si>
    <t>Dec20 - Jun21</t>
  </si>
  <si>
    <t>Filmy Dibba</t>
  </si>
  <si>
    <t>May21 - Jun21</t>
  </si>
  <si>
    <t>White Leaf Entertainment</t>
  </si>
  <si>
    <t>Standout Motion Pictures</t>
  </si>
  <si>
    <t>Feb21 - Jun21</t>
  </si>
  <si>
    <t>Jun'21</t>
  </si>
  <si>
    <t>Jul'21</t>
  </si>
  <si>
    <t>Flickrollers</t>
  </si>
  <si>
    <t>ICON Business Forum</t>
  </si>
  <si>
    <t>Kavyanjali Films</t>
  </si>
  <si>
    <t>Ph2-FY21-22</t>
  </si>
  <si>
    <t>Ph2-FY-22</t>
  </si>
  <si>
    <t>Patras Glam (RupKumar Patra)</t>
  </si>
  <si>
    <t>Oct'20 - Aug'21</t>
  </si>
  <si>
    <t>Powerrangers Film Factory &amp; Ent.</t>
  </si>
  <si>
    <t>Apr'21 - Aug'21</t>
  </si>
  <si>
    <t>Ph3-FY-22</t>
  </si>
  <si>
    <t>Aug'21</t>
  </si>
  <si>
    <t>SS Enterprises</t>
  </si>
  <si>
    <t>Rajeev Kr. Jha</t>
  </si>
  <si>
    <t>Kaizen Kraft Films</t>
  </si>
  <si>
    <t>Gnapika Global Media</t>
  </si>
  <si>
    <t>Sept'21</t>
  </si>
  <si>
    <t>Ph3-FY21-22</t>
  </si>
  <si>
    <t>Oct'21</t>
  </si>
  <si>
    <t>Cineclubs Film Studios</t>
  </si>
  <si>
    <t>Media City Inc.</t>
  </si>
  <si>
    <t>Jun 20</t>
  </si>
  <si>
    <t>Jul 20</t>
  </si>
  <si>
    <t>Sept 20</t>
  </si>
  <si>
    <t>Oct 20</t>
  </si>
  <si>
    <t>Dec 20</t>
  </si>
  <si>
    <t>Jan 21</t>
  </si>
  <si>
    <t>Feb 21</t>
  </si>
  <si>
    <t>Mar 21</t>
  </si>
  <si>
    <t>Apr 21</t>
  </si>
  <si>
    <t>May 21</t>
  </si>
  <si>
    <t>Apni Kaksha</t>
  </si>
  <si>
    <t>Nov 21 - Jan 22</t>
  </si>
  <si>
    <t>F2 Studios</t>
  </si>
  <si>
    <t>ForeVision Digital</t>
  </si>
  <si>
    <t>Ph4-FY-22</t>
  </si>
  <si>
    <t>Ph4-FY21-22</t>
  </si>
  <si>
    <t>Red Sky Films</t>
  </si>
  <si>
    <t>Rotalia Studios</t>
  </si>
  <si>
    <t>Ph4-FY22</t>
  </si>
  <si>
    <t>Sept 21</t>
  </si>
  <si>
    <t>Oct 21</t>
  </si>
  <si>
    <t>Dec 21</t>
  </si>
  <si>
    <t>Aug 20</t>
  </si>
  <si>
    <t>Oct - Nov 20</t>
  </si>
  <si>
    <t>Apr - May 21</t>
  </si>
  <si>
    <t>Jun - Jul 21</t>
  </si>
  <si>
    <t>Nov - Dec 21</t>
  </si>
  <si>
    <t>Apr - May 20</t>
  </si>
  <si>
    <t>Jun 21</t>
  </si>
  <si>
    <t>Jul 21</t>
  </si>
  <si>
    <t>Aug 21</t>
  </si>
  <si>
    <t>Nov 21</t>
  </si>
  <si>
    <t>Jan 22</t>
  </si>
  <si>
    <t>Sept - Oct 20</t>
  </si>
  <si>
    <t>Resso</t>
  </si>
  <si>
    <t>Apr - Jun 21</t>
  </si>
  <si>
    <t>Aug - Sept 21</t>
  </si>
  <si>
    <t>Feb22 - Mar22</t>
  </si>
  <si>
    <t>Feb 22</t>
  </si>
  <si>
    <t>Ph5-FY-22</t>
  </si>
  <si>
    <t>Ph5-FY21-22</t>
  </si>
  <si>
    <t>Feb'22</t>
  </si>
  <si>
    <t>Vivek Films Production House</t>
  </si>
  <si>
    <t>Mar 22</t>
  </si>
  <si>
    <t>Mar'22</t>
  </si>
  <si>
    <t>Apr21 - Mar22</t>
  </si>
  <si>
    <t>Silver Rain Pictures</t>
  </si>
  <si>
    <t>Aug21 - Mar22</t>
  </si>
  <si>
    <t>Redwood Production</t>
  </si>
  <si>
    <t>Jan22 - Feb22</t>
  </si>
  <si>
    <t>Mar22 - Apr22</t>
  </si>
  <si>
    <t>Swamii Tejomayananda Saraswati</t>
  </si>
  <si>
    <t>Sept21 - Mar22</t>
  </si>
  <si>
    <t>Apr22 - Jun22</t>
  </si>
  <si>
    <t>Apr22 - Mar23</t>
  </si>
  <si>
    <t>Expert Color Multimedia</t>
  </si>
  <si>
    <t>Ph1-FY-22-23</t>
  </si>
  <si>
    <t>Apr22 - Mar24</t>
  </si>
  <si>
    <t>Ph1-FY22-23</t>
  </si>
  <si>
    <t>Ph1-FY22</t>
  </si>
  <si>
    <t>Naturl Movies</t>
  </si>
  <si>
    <t>May22 - Jun22</t>
  </si>
  <si>
    <t>Apr22 - Aug22</t>
  </si>
  <si>
    <t>Red Ion Studios</t>
  </si>
  <si>
    <t>Trishula Pictures</t>
  </si>
  <si>
    <t>Vishwas Film Production House</t>
  </si>
  <si>
    <t>May22 - Aug22</t>
  </si>
  <si>
    <t>Manoj G Sharma</t>
  </si>
  <si>
    <t>Jan22 - Oct22</t>
  </si>
  <si>
    <t>Kamal Sharma</t>
  </si>
  <si>
    <t>Aug22 - Oct22</t>
  </si>
  <si>
    <t>Jul22</t>
  </si>
  <si>
    <t>Ph2-FY-22-23</t>
  </si>
  <si>
    <t>Ph2-FY22-23</t>
  </si>
  <si>
    <t>Jul'22</t>
  </si>
  <si>
    <t>Aug22</t>
  </si>
  <si>
    <t>Ph3-FY-22-23</t>
  </si>
  <si>
    <t>Aug22 - Mar23</t>
  </si>
  <si>
    <t>Ph3-FY22-23</t>
  </si>
  <si>
    <t>Nebula Productions</t>
  </si>
  <si>
    <t>Aug'22</t>
  </si>
  <si>
    <t>pocket.watch</t>
  </si>
  <si>
    <t>Sept22</t>
  </si>
  <si>
    <t>Ph5-FY-22-23</t>
  </si>
  <si>
    <t>Sept'22</t>
  </si>
  <si>
    <t>Sept22 - Jan23</t>
  </si>
  <si>
    <t>Meera Film Production</t>
  </si>
  <si>
    <t>Aug - Oct 22</t>
  </si>
  <si>
    <t>Oct22</t>
  </si>
  <si>
    <t>Oct'22</t>
  </si>
  <si>
    <t>Shorted</t>
  </si>
  <si>
    <t>Aug22 - Nov22</t>
  </si>
  <si>
    <t>Ph6-FY-22-23</t>
  </si>
  <si>
    <t>Ph7-FY-22-23</t>
  </si>
  <si>
    <t>Oct22 - Nov22</t>
  </si>
  <si>
    <t>Apr22 - Jan23</t>
  </si>
  <si>
    <t>Music</t>
  </si>
  <si>
    <t>AR Productions</t>
  </si>
  <si>
    <t>Dec22 - Feb23</t>
  </si>
  <si>
    <t>Dhananjay Galani Production</t>
  </si>
  <si>
    <t>Dec22 - Jan23</t>
  </si>
  <si>
    <t>Shri Susheela Entertainments</t>
  </si>
  <si>
    <t>Oct22 - Jan23</t>
  </si>
  <si>
    <t>Oct22-Jan23</t>
  </si>
  <si>
    <t>Sept22-Feb23</t>
  </si>
  <si>
    <t>Ph5-10,FY22-23</t>
  </si>
  <si>
    <t>Anugrah Entertainment</t>
  </si>
  <si>
    <t>Oct22-Feb23</t>
  </si>
  <si>
    <t>Oct22 - Feb23</t>
  </si>
  <si>
    <t>Star Entertainment</t>
  </si>
  <si>
    <t>F3 (First Frame Films Pvt. Ltd.)</t>
  </si>
  <si>
    <t>Dec22 - Mar23</t>
  </si>
  <si>
    <t>Ph8-11,FY22-23</t>
  </si>
  <si>
    <t>Sep22 - Mar23</t>
  </si>
  <si>
    <t>Sep22 - Nov22</t>
  </si>
  <si>
    <t>White Coconut Pictures</t>
  </si>
  <si>
    <t>Mar'23</t>
  </si>
  <si>
    <t>Nov22 - Mar23</t>
  </si>
  <si>
    <t>Feb23 - Mar23</t>
  </si>
  <si>
    <t>Oct22 - Mar23</t>
  </si>
  <si>
    <t>Saanware Films</t>
  </si>
  <si>
    <t>Aug22 - May23</t>
  </si>
  <si>
    <t>Soul And Hearts Films</t>
  </si>
  <si>
    <t>Apr23 - May23</t>
  </si>
  <si>
    <t>Shreya Kiran Movies</t>
  </si>
  <si>
    <t>Feb23 - May23</t>
  </si>
  <si>
    <t>Sept22 - Mar23</t>
  </si>
  <si>
    <t>Eye Reality</t>
  </si>
  <si>
    <t>Mar23 - May23</t>
  </si>
  <si>
    <t>Dec'22 - Mar'23</t>
  </si>
  <si>
    <t>Ph8-11 FY22-23</t>
  </si>
  <si>
    <t>Apr'23 - May'23</t>
  </si>
  <si>
    <t>Ph1 FY23-24</t>
  </si>
  <si>
    <t>Jul22 - Mar23</t>
  </si>
  <si>
    <t>Sarcastic Studio</t>
  </si>
  <si>
    <t>Mar23 - Apr23</t>
  </si>
  <si>
    <t>India E-Commerce Ltd</t>
  </si>
  <si>
    <t>Cinekalp Motion Picture</t>
  </si>
  <si>
    <t>Ph5-Ph11-FY22-23</t>
  </si>
  <si>
    <t>Ph1-FY23-24</t>
  </si>
  <si>
    <t>Apr23 - Jun23</t>
  </si>
  <si>
    <t>Ph1-2,FY23-24</t>
  </si>
  <si>
    <t>Digi</t>
  </si>
  <si>
    <t>Airtel_DTH</t>
  </si>
  <si>
    <t>DTH</t>
  </si>
  <si>
    <t>May23 - Jun23</t>
  </si>
  <si>
    <t>Hiranyagarbh Motion Pictures</t>
  </si>
  <si>
    <t>Ph-8-11, FY22-23</t>
  </si>
  <si>
    <t>Apr'23 - Jun'23</t>
  </si>
  <si>
    <t>Apr23 - Jul23</t>
  </si>
  <si>
    <t>Rudransh Cine Crafts Pvt Ltd</t>
  </si>
  <si>
    <t>Jun'23 - Jul'23</t>
  </si>
  <si>
    <t>Radhey Keshav Entertainment</t>
  </si>
  <si>
    <t>May23 - Jul23</t>
  </si>
  <si>
    <t>Ph2-7 FY23-24</t>
  </si>
  <si>
    <t>Nov'21 - Dec'21</t>
  </si>
  <si>
    <t>Prime Music</t>
  </si>
  <si>
    <t>Nov'21</t>
  </si>
  <si>
    <t>Dec'21</t>
  </si>
  <si>
    <t>Jan'22</t>
  </si>
  <si>
    <t>Jio_Saavn</t>
  </si>
  <si>
    <t>Feb22</t>
  </si>
  <si>
    <t>Hungama</t>
  </si>
  <si>
    <t>Apr23 - Mar24</t>
  </si>
  <si>
    <t>Jul'23</t>
  </si>
  <si>
    <t>ABNCO Productions</t>
  </si>
  <si>
    <t>Aug'23 - Nov'23</t>
  </si>
  <si>
    <t>Jul23 - Oct23</t>
  </si>
  <si>
    <t>Ph3-4,FY23-24</t>
  </si>
  <si>
    <t>Ashok Tyagi</t>
  </si>
  <si>
    <t>Sept23 - Nov23</t>
  </si>
  <si>
    <t>CMS Entertainment</t>
  </si>
  <si>
    <t>Sept'23 - Nov'23</t>
  </si>
  <si>
    <t>?????</t>
  </si>
  <si>
    <t>Ph4,FY23-24</t>
  </si>
  <si>
    <t>Jun'23 - Nov'23</t>
  </si>
  <si>
    <t>Ph2-4,FY23-24</t>
  </si>
  <si>
    <t>Moving Image</t>
  </si>
  <si>
    <t>Apr23 - Sept23</t>
  </si>
  <si>
    <t>Dec22 - Jun23</t>
  </si>
  <si>
    <t>Shab Production</t>
  </si>
  <si>
    <t>Jul23 - Nov23</t>
  </si>
  <si>
    <t>Yesman Films</t>
  </si>
  <si>
    <t>Aug23 - Nov23</t>
  </si>
  <si>
    <t>Whistling Woods Intl. Ltd.</t>
  </si>
  <si>
    <t>Apr23 - Nov23</t>
  </si>
  <si>
    <t>Ph10-11 FY22</t>
  </si>
  <si>
    <t>Apr23 - Oct23</t>
  </si>
  <si>
    <t>Ph1-4 FY23-24</t>
  </si>
  <si>
    <t>Shucae Films Pvt. Ltd.</t>
  </si>
  <si>
    <t>Oct'22 - Mar'23</t>
  </si>
  <si>
    <t>Ph6-11 FY22-23</t>
  </si>
  <si>
    <t>Apr'23 - Nov'23</t>
  </si>
  <si>
    <t>Dec23 - Feb24</t>
  </si>
  <si>
    <t>Ph6 FY22-23</t>
  </si>
  <si>
    <t>May23 - Feb24</t>
  </si>
  <si>
    <t>Ph2-6 FY22-23</t>
  </si>
  <si>
    <t>Manoj Deshpande</t>
  </si>
  <si>
    <t>Ph2-7 FY22-23</t>
  </si>
  <si>
    <t>AltJ Films LLP</t>
  </si>
  <si>
    <t>Jun’23 - Mar’24</t>
  </si>
  <si>
    <t>Mar’24</t>
  </si>
  <si>
    <t>Sept23 - Mar24</t>
  </si>
  <si>
    <t>Nov23 - Mar24</t>
  </si>
  <si>
    <t>Ph4-8, FY23-24</t>
  </si>
  <si>
    <t>Jun23 - Mar24</t>
  </si>
  <si>
    <t>Airtel_CRBT</t>
  </si>
  <si>
    <t>Digi_CRBT</t>
  </si>
  <si>
    <t>Rew Digital Pvt. Ltd.</t>
  </si>
  <si>
    <t>Nov’23 – Mar’24</t>
  </si>
  <si>
    <t>Dec'23 - Mar'24</t>
  </si>
  <si>
    <t>Jul23 - Mar24</t>
  </si>
  <si>
    <t>Jun'23  - Mar'24</t>
  </si>
  <si>
    <t>Aug'23 - Mar'24</t>
  </si>
  <si>
    <t>Ph6-7 FY23-24</t>
  </si>
  <si>
    <t>Nendi Creation</t>
  </si>
  <si>
    <t>Feb'24 - Mar'24</t>
  </si>
  <si>
    <t>May23 - Mar24</t>
  </si>
  <si>
    <t>Rishabh Jain</t>
  </si>
  <si>
    <t>Feb'24 - Jun'24</t>
  </si>
  <si>
    <t>Monk Monkey</t>
  </si>
  <si>
    <t>Dec23 - Mar24</t>
  </si>
  <si>
    <t>Om Shree Om Production</t>
  </si>
  <si>
    <t>Feb24 - Mar24</t>
  </si>
  <si>
    <t>Apr24 - Oct24</t>
  </si>
  <si>
    <t>Ph2 FY24-25</t>
  </si>
  <si>
    <t>Ph6-7,FY23-24</t>
  </si>
  <si>
    <t>Ph2, FY24-25</t>
  </si>
  <si>
    <t>Apr'24 - Oct'24</t>
  </si>
  <si>
    <t>Ramesh Kurhade Entertainment</t>
  </si>
  <si>
    <t>ABC Talkies</t>
  </si>
  <si>
    <t>Sep24 -Oct24</t>
  </si>
  <si>
    <t>A Village Talkies</t>
  </si>
  <si>
    <t>May24 - Oct24</t>
  </si>
  <si>
    <t>Jun22-Mar23</t>
  </si>
  <si>
    <t>Apr23-Mar24</t>
  </si>
  <si>
    <t>Apr24-Oct24</t>
  </si>
  <si>
    <t>Dec23 - Oct24</t>
  </si>
  <si>
    <t>Dom Productions</t>
  </si>
  <si>
    <t>Kanak's Kitchen</t>
  </si>
  <si>
    <t>Aug24 - Nov24</t>
  </si>
  <si>
    <t>Phreak Entertainment</t>
  </si>
  <si>
    <t>Oct23 - Mar24</t>
  </si>
  <si>
    <t>Nov24 - Mar25</t>
  </si>
  <si>
    <t>Ph4 FY24-25</t>
  </si>
  <si>
    <t>Apr22 - Sept23</t>
  </si>
  <si>
    <t>MX Player</t>
  </si>
  <si>
    <t>Star Entertainment (TVOD)</t>
  </si>
  <si>
    <t>Aug24 - Feb25</t>
  </si>
  <si>
    <t>Apr24 - Mar25</t>
  </si>
  <si>
    <t>Akash Deep Creations</t>
  </si>
  <si>
    <t>Value of Time</t>
  </si>
  <si>
    <t>Dec24 - Mar25</t>
  </si>
  <si>
    <t>Aug23 - Mar24</t>
  </si>
  <si>
    <t>May23 - Mar25</t>
  </si>
  <si>
    <t>Apr24-Mar25</t>
  </si>
  <si>
    <t>Apr25 - May25</t>
  </si>
  <si>
    <t>Apr'24 - Mar'25</t>
  </si>
  <si>
    <t>Apr'25 - Sept'25</t>
  </si>
  <si>
    <t>Warrior Clan Ventures (Paizology)</t>
  </si>
  <si>
    <t>Nov'22 - Mar'23</t>
  </si>
  <si>
    <t>Apr'23 - Mar'24</t>
  </si>
  <si>
    <t>Apr25 - Sept25</t>
  </si>
  <si>
    <t>Nov24-Mar25</t>
  </si>
  <si>
    <t>Apr25-Sept25</t>
  </si>
  <si>
    <t>Aug24 - Mar25</t>
  </si>
  <si>
    <t>Ph3 &amp; 4</t>
  </si>
  <si>
    <t>Ph1 &amp; 2</t>
  </si>
  <si>
    <t>Cine Prime World</t>
  </si>
  <si>
    <t>Nov'23-Mar'24</t>
  </si>
  <si>
    <t>Apr'24-Mar'25</t>
  </si>
  <si>
    <t> 422929.44</t>
  </si>
  <si>
    <t>Apr'25-Sept'25</t>
  </si>
  <si>
    <t>Nov 24- Mar 25</t>
  </si>
  <si>
    <t>Apr 25-Sep 25</t>
  </si>
  <si>
    <t>Apr 25-Nov 25</t>
  </si>
  <si>
    <t>Oct25-Nov25</t>
  </si>
  <si>
    <t>Oct25 - Nov25</t>
  </si>
  <si>
    <t>Peppermint Pvt. Ltd.</t>
  </si>
  <si>
    <t>Apr'25 - Nov'25</t>
  </si>
  <si>
    <t xml:space="preserve">      2,976.00 </t>
  </si>
  <si>
    <t xml:space="preserve">    15,422.72 </t>
  </si>
  <si>
    <t xml:space="preserve">           7,711.36 </t>
  </si>
  <si>
    <t>Apr’25 – Sep’25</t>
  </si>
  <si>
    <t>Apr'25 - Jul’25</t>
  </si>
  <si>
    <t>Apr '24 - Oct '24</t>
  </si>
  <si>
    <t>Nov '24 - Mar '25</t>
  </si>
  <si>
    <t> 18212</t>
  </si>
  <si>
    <t>           9106</t>
  </si>
  <si>
    <t>Apr '24 - Mar '25</t>
  </si>
  <si>
    <t>Nov’24 - Mar’25</t>
  </si>
  <si>
    <t>        39113</t>
  </si>
  <si>
    <t xml:space="preserve">       56564 </t>
  </si>
  <si>
    <t>         28282</t>
  </si>
  <si>
    <t xml:space="preserve">Nov’24 - Mar’25 </t>
  </si>
  <si>
    <t>Apr 24 - Mar 25</t>
  </si>
  <si>
    <t>Apr’25 –  Jul’25</t>
  </si>
  <si>
    <t>Jun’25 – Sep’25</t>
  </si>
  <si>
    <t>Aug’23 – Mar’24</t>
  </si>
  <si>
    <t>Apr’24 – Mar’25</t>
  </si>
  <si>
    <t>Aug '23 - Mar '24</t>
  </si>
  <si>
    <t>Apr 25 - Sep 25</t>
  </si>
  <si>
    <t>Oct 25 - Nov 25</t>
  </si>
  <si>
    <t>Oct’25 – Nov’25</t>
  </si>
  <si>
    <t>Oct 25- Nov 25</t>
  </si>
  <si>
    <t>Apr'25 - Sept‘25</t>
  </si>
  <si>
    <t>Apr25-Sep25</t>
  </si>
  <si>
    <t>Apr25-Nov25</t>
  </si>
  <si>
    <t>Apr25 - Jul25</t>
  </si>
  <si>
    <t>Apr’25 – Nov’25</t>
  </si>
  <si>
    <t>Nov 24 – Mar 25</t>
  </si>
  <si>
    <t>Apr 25 – Nov 25</t>
  </si>
  <si>
    <t>Aug 25 – Nov 25</t>
  </si>
  <si>
    <t>Jul 23 – Mar 24</t>
  </si>
  <si>
    <t>Mahakaal Motion Pictures Pvt. Ltd</t>
  </si>
  <si>
    <t>Jan ’23 – Mar ‘23</t>
  </si>
  <si>
    <t>April ’23 – Mar ‘24</t>
  </si>
  <si>
    <t>Apr ’24 – Mar ‘25</t>
  </si>
  <si>
    <t>Apr ’25 – Jan ‘26</t>
  </si>
  <si>
    <t>Dec ’25 – Mar ‘26</t>
  </si>
  <si>
    <t>Dec ’25 – Mar ’26</t>
  </si>
  <si>
    <t>Dec ‘25 – Mar ‘26</t>
  </si>
  <si>
    <t>Dec ’25 – Mar -26</t>
  </si>
  <si>
    <t>Dec22-Mar23</t>
  </si>
  <si>
    <t>Dec 25 – Feb 26</t>
  </si>
  <si>
    <t>Dec 25 – Mar 26</t>
  </si>
  <si>
    <t xml:space="preserve">Dec '25 - Feb '26 </t>
  </si>
  <si>
    <t>Dec '25 - Mar '26</t>
  </si>
  <si>
    <t>Dec '26 - Feb '26</t>
  </si>
  <si>
    <t>Apr' 26</t>
  </si>
  <si>
    <t>Oct 25 - Mar 26</t>
  </si>
  <si>
    <t>Dec ’25 – Mar ‘ 26</t>
  </si>
  <si>
    <t>Jun23– Mar24</t>
  </si>
  <si>
    <r>
      <t>9</t>
    </r>
    <r>
      <rPr>
        <vertAlign val="superscript"/>
        <sz val="11"/>
        <color rgb="FF000000"/>
        <rFont val="Calibri"/>
        <family val="2"/>
        <scheme val="minor"/>
      </rPr>
      <t>Th</t>
    </r>
    <r>
      <rPr>
        <sz val="11"/>
        <color rgb="FF000000"/>
        <rFont val="Calibri"/>
        <family val="2"/>
        <scheme val="minor"/>
      </rPr>
      <t xml:space="preserve"> Line Entertainment</t>
    </r>
  </si>
  <si>
    <t>Dec '25 -Jan '26</t>
  </si>
  <si>
    <t>Bollywood 18 Pictures</t>
  </si>
  <si>
    <t>Wolf Motion Picture Production</t>
  </si>
  <si>
    <t>Jan ’25 – Mar ‘25</t>
  </si>
  <si>
    <t>Apr ‘ 25 – Mar ‘26</t>
  </si>
  <si>
    <t>Dec'25-Mar'26</t>
  </si>
  <si>
    <t>Apr '25 - Mar '26</t>
  </si>
  <si>
    <t>Kind films</t>
  </si>
  <si>
    <t>Apr '23 - Jun '23</t>
  </si>
  <si>
    <t>Sanjay Live Creation</t>
  </si>
  <si>
    <t>May '23 - Jun '23</t>
  </si>
  <si>
    <t>Nov ’24 – Mar ’25</t>
  </si>
  <si>
    <t>Super Media Services</t>
  </si>
  <si>
    <t>Jun '25 - Mar '26</t>
  </si>
  <si>
    <t>Actors Lab India</t>
  </si>
  <si>
    <t>Nov '25 - Mar '26</t>
  </si>
  <si>
    <t>Dec 25 - Mar 26</t>
  </si>
  <si>
    <t>True Knock Industries (Kavish Records)</t>
  </si>
  <si>
    <t>23 titles</t>
  </si>
  <si>
    <t>ap</t>
  </si>
  <si>
    <t>as on 20th Nov 2019</t>
  </si>
  <si>
    <t>Labels</t>
  </si>
  <si>
    <t>Payout</t>
  </si>
  <si>
    <t>Aakash International (Music)</t>
  </si>
  <si>
    <t>Grand Total</t>
  </si>
  <si>
    <t>Vendor</t>
  </si>
  <si>
    <t>Phase</t>
  </si>
  <si>
    <t>Chq Amount</t>
  </si>
  <si>
    <t>Chq no</t>
  </si>
  <si>
    <t>Date</t>
  </si>
  <si>
    <t>Comment</t>
  </si>
  <si>
    <t>all phases</t>
  </si>
  <si>
    <t>4.08.2015</t>
  </si>
  <si>
    <t>combined payment for yearly amount</t>
  </si>
  <si>
    <t>13.05.2015</t>
  </si>
  <si>
    <t>for period Jul 14 - Oct 14</t>
  </si>
  <si>
    <t>13.07.2015</t>
  </si>
  <si>
    <t>for period Nov 14 - Jan 15</t>
  </si>
  <si>
    <t>13.10.2015</t>
  </si>
  <si>
    <t>for period Feb 15 - Mar 15</t>
  </si>
  <si>
    <t>MG</t>
  </si>
  <si>
    <t>22.01.2016</t>
  </si>
  <si>
    <t>MG as per addendum to agreement</t>
  </si>
  <si>
    <t>Vendor Name</t>
  </si>
  <si>
    <t>Hungama Revenue</t>
  </si>
  <si>
    <t>Apr ’19 - July ‘19</t>
  </si>
  <si>
    <t>August ‘19</t>
  </si>
  <si>
    <t>Sept ‘19 - Nov ‘19</t>
  </si>
  <si>
    <t>Dec ‘19 - Jan ‘20</t>
  </si>
  <si>
    <t>Feb ‘20 - Mar ‘20</t>
  </si>
  <si>
    <t>Apr ‘20 - May ‘20</t>
  </si>
  <si>
    <t>Jun ‘20 - Aug ‘20</t>
  </si>
  <si>
    <t>Sept ’20 - Oct ‘20</t>
  </si>
  <si>
    <t>Nov ‘20</t>
  </si>
  <si>
    <t>Total</t>
  </si>
  <si>
    <t>Dec ‘20 – Jan ‘21</t>
  </si>
  <si>
    <t>Feb ‘21</t>
  </si>
  <si>
    <t>Mar ‘21</t>
  </si>
  <si>
    <t>April ‘21</t>
  </si>
  <si>
    <t>May ‘21</t>
  </si>
  <si>
    <t>June ‘21</t>
  </si>
  <si>
    <t>July ‘21</t>
  </si>
  <si>
    <t>Aug ‘21</t>
  </si>
  <si>
    <t>Sept ‘21</t>
  </si>
  <si>
    <t>Oct ‘21</t>
  </si>
  <si>
    <t>Nov’21 – Jan‘22</t>
  </si>
  <si>
    <t>Feb’22</t>
  </si>
  <si>
    <t>Mar’22</t>
  </si>
  <si>
    <t>Apr’22 – Jun’22</t>
  </si>
  <si>
    <t>Motion Pixel - Revenue Report 2015 - 16</t>
  </si>
  <si>
    <t>Platform/ Vector</t>
  </si>
  <si>
    <t>Grand Total Vendor Share @ 50%</t>
  </si>
  <si>
    <t>Consumer Business (Movie Portal)</t>
  </si>
  <si>
    <t>Motion Pixel - Revenue Report 2016 - 17</t>
  </si>
  <si>
    <t>Consumer Business (Web &amp; APP)</t>
  </si>
  <si>
    <t xml:space="preserve">        -   </t>
  </si>
  <si>
    <t xml:space="preserve">       -   </t>
  </si>
  <si>
    <t xml:space="preserve">        -   </t>
  </si>
  <si>
    <t>Motion Pixel - Revenue Report 2017 - 18</t>
  </si>
  <si>
    <t>Motion Pixel - Revenue Report 2018 - 19</t>
  </si>
  <si>
    <t>Planet VIX - The Independent Film Co. - Revenue Report 2016 - 17</t>
  </si>
  <si>
    <t>Grand Total Vendor Share @ 60%</t>
  </si>
  <si>
    <t>Consumer Business (Web &amp; App)</t>
  </si>
  <si>
    <t xml:space="preserve">         -   </t>
  </si>
  <si>
    <t xml:space="preserve">          -   </t>
  </si>
  <si>
    <t xml:space="preserve">         -   </t>
  </si>
  <si>
    <t>Planet VIX - The Independent Film Co. - Revenue Report 2017 - 18</t>
  </si>
  <si>
    <t>Planet VIX - The Independent Film Co. - Revenue Report 2018 - 19</t>
  </si>
  <si>
    <t>Planet VIX - The Independent Film Co. - Revenue Report 2019 - 20</t>
  </si>
  <si>
    <t>Magna Home Video - Revenue Report 2016 - 17</t>
  </si>
  <si>
    <t>Magna Home Video - Revenue Report 2017 - 18</t>
  </si>
  <si>
    <t>Magna Home Video - Revenue Report 2018 - 19</t>
  </si>
  <si>
    <t>Ssilver Screenn - Revenue Report 2016 - 17</t>
  </si>
  <si>
    <t>Ssilver Screenn - Revenue Report 2017 - 18</t>
  </si>
  <si>
    <t>Idea</t>
  </si>
  <si>
    <t>Airtel</t>
  </si>
  <si>
    <t>BSNL</t>
  </si>
  <si>
    <t>Ssilver Screenn - Revenue Report 2018 - 19 (Revenue Share Movies)</t>
  </si>
  <si>
    <t>Ssilver Screenn - Revenue Report 2018 - 19 (MG Movies)</t>
  </si>
  <si>
    <t>Onetakemedia.com (Pocket Films) - Revenue Report 2016 - 17</t>
  </si>
  <si>
    <t>Warrior Clan Mobipixel - Revenue Report 2016 - 17</t>
  </si>
  <si>
    <t>Paizology Pvt. Ltd. - Revenue Report 2017 - 18</t>
  </si>
  <si>
    <t>Paizology Pvt. Ltd. - Revenue Report 2018 - 19</t>
  </si>
  <si>
    <t>Morna Entertainment - Revenue Report 2018 - 19</t>
  </si>
  <si>
    <t>Nishi Malhotra - Revenue Report 2018 - 19</t>
  </si>
  <si>
    <t>Grand Total Vendor Share @ 30%</t>
  </si>
  <si>
    <t>Tan Ta Dan Productions - Revenue Report 2017 - 18 (((Movie)))</t>
  </si>
  <si>
    <t>Grand Total Vendor Share @ 40%</t>
  </si>
  <si>
    <t>Tan Ta Dan Productions - Revenue Report 2017 - 18 (((Music)))</t>
  </si>
  <si>
    <t>Tan Ta Dan Productions - Revenue Report 2019 - 20</t>
  </si>
  <si>
    <t>Tan Ta Dan Productions - Revenue Report 2019-20</t>
  </si>
  <si>
    <t>Hungama Play</t>
  </si>
  <si>
    <t>Hungama Music</t>
  </si>
  <si>
    <t>Jio Saavn</t>
  </si>
  <si>
    <t>Vodafone</t>
  </si>
  <si>
    <t>Total Billing Amount</t>
  </si>
  <si>
    <t>Aakash International - Revenue Report 2018 - 19</t>
  </si>
  <si>
    <t>Total in INR</t>
  </si>
  <si>
    <t>AIRTEL Wynk</t>
  </si>
  <si>
    <t>CB- H.COM</t>
  </si>
  <si>
    <t>Apple Music</t>
  </si>
  <si>
    <t>RELIANCE JIO</t>
  </si>
  <si>
    <t>TOTAL</t>
  </si>
  <si>
    <t>Aakash International - Revenue Report 2019 - 20</t>
  </si>
  <si>
    <t>V3 Motions - Revenue Report 2018 - 19</t>
  </si>
  <si>
    <t>V3 Motions - Revenue Report 2019 - 20</t>
  </si>
  <si>
    <t>Amazon FireTV</t>
  </si>
  <si>
    <t>Mi TV</t>
  </si>
  <si>
    <t>ShareIT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</si>
</sst>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mmm\-yy;@"/>
    <numFmt numFmtId="167" formatCode="_(* #,##0_);_(* \(#,##0\);_(* &quot;-&quot;??_);_(@_)"/>
    <numFmt numFmtId="168" formatCode="_ * #,##0_ ;_ * \-#,##0_ ;_ * &quot;-&quot;??_ ;_ @_ "/>
    <numFmt numFmtId="169" formatCode="0;[Red]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i/>
      <sz val="13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name val="Verdana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2" fillId="0" borderId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7" fillId="0" borderId="0"/>
  </cellStyleXfs>
  <cellXfs count="127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1" fillId="0" borderId="0" xfId="0" applyNumberFormat="1" applyFont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0" fontId="0" fillId="6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15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7" borderId="0" xfId="0" applyFill="1"/>
    <xf numFmtId="15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quotePrefix="1" applyFont="1" applyBorder="1" applyAlignment="1">
      <alignment vertical="center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65" fontId="9" fillId="8" borderId="6" xfId="0" applyNumberFormat="1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17" fontId="9" fillId="8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5" fontId="0" fillId="0" borderId="0" xfId="0" applyNumberFormat="1"/>
    <xf numFmtId="1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17" fontId="9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1" fontId="10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7" fontId="9" fillId="0" borderId="1" xfId="2" applyNumberFormat="1" applyFont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17" fontId="9" fillId="8" borderId="13" xfId="0" applyNumberFormat="1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167" fontId="10" fillId="0" borderId="6" xfId="2" applyNumberFormat="1" applyFont="1" applyBorder="1" applyAlignment="1">
      <alignment horizontal="center" vertical="center" wrapText="1"/>
    </xf>
    <xf numFmtId="167" fontId="9" fillId="0" borderId="6" xfId="2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168" fontId="0" fillId="0" borderId="1" xfId="0" applyNumberFormat="1" applyBorder="1" applyAlignment="1">
      <alignment horizontal="right"/>
    </xf>
    <xf numFmtId="167" fontId="0" fillId="0" borderId="1" xfId="0" applyNumberFormat="1" applyBorder="1"/>
    <xf numFmtId="167" fontId="0" fillId="0" borderId="1" xfId="0" applyNumberForma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8" fontId="0" fillId="0" borderId="1" xfId="2" applyNumberFormat="1" applyFont="1" applyFill="1" applyBorder="1"/>
    <xf numFmtId="168" fontId="0" fillId="0" borderId="1" xfId="0" applyNumberFormat="1" applyBorder="1"/>
    <xf numFmtId="167" fontId="1" fillId="0" borderId="1" xfId="0" applyNumberFormat="1" applyFont="1" applyBorder="1"/>
    <xf numFmtId="0" fontId="7" fillId="0" borderId="0" xfId="0" applyFont="1" applyAlignment="1">
      <alignment horizontal="center" vertic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3" fontId="0" fillId="0" borderId="0" xfId="0" applyNumberFormat="1"/>
    <xf numFmtId="0" fontId="14" fillId="8" borderId="1" xfId="0" applyFont="1" applyFill="1" applyBorder="1" applyAlignment="1">
      <alignment horizontal="center" vertical="center" wrapText="1"/>
    </xf>
    <xf numFmtId="1" fontId="9" fillId="0" borderId="14" xfId="0" applyNumberFormat="1" applyFont="1" applyBorder="1" applyAlignment="1">
      <alignment vertical="center"/>
    </xf>
    <xf numFmtId="0" fontId="0" fillId="0" borderId="14" xfId="0" applyBorder="1"/>
    <xf numFmtId="167" fontId="1" fillId="0" borderId="14" xfId="2" applyNumberFormat="1" applyFont="1" applyBorder="1" applyAlignment="1">
      <alignment horizontal="center"/>
    </xf>
    <xf numFmtId="16" fontId="7" fillId="0" borderId="1" xfId="0" quotePrefix="1" applyNumberFormat="1" applyFont="1" applyBorder="1" applyAlignment="1">
      <alignment vertical="center"/>
    </xf>
    <xf numFmtId="1" fontId="0" fillId="0" borderId="8" xfId="0" applyNumberFormat="1" applyBorder="1"/>
    <xf numFmtId="0" fontId="16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3" fontId="1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7" fillId="10" borderId="1" xfId="0" applyFont="1" applyFill="1" applyBorder="1" applyAlignment="1">
      <alignment vertical="center"/>
    </xf>
    <xf numFmtId="0" fontId="17" fillId="10" borderId="1" xfId="0" applyFont="1" applyFill="1" applyBorder="1" applyAlignment="1">
      <alignment vertical="center"/>
    </xf>
    <xf numFmtId="3" fontId="7" fillId="10" borderId="1" xfId="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167" fontId="18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7" fillId="0" borderId="6" xfId="0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 wrapText="1"/>
    </xf>
    <xf numFmtId="3" fontId="17" fillId="0" borderId="6" xfId="0" applyNumberFormat="1" applyFont="1" applyBorder="1" applyAlignment="1">
      <alignment horizontal="right" vertical="center"/>
    </xf>
    <xf numFmtId="3" fontId="17" fillId="0" borderId="6" xfId="0" applyNumberFormat="1" applyFont="1" applyBorder="1" applyAlignment="1">
      <alignment horizontal="right" vertical="center" wrapText="1"/>
    </xf>
    <xf numFmtId="4" fontId="17" fillId="0" borderId="6" xfId="0" applyNumberFormat="1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/>
    </xf>
    <xf numFmtId="4" fontId="7" fillId="0" borderId="6" xfId="0" applyNumberFormat="1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1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 wrapText="1"/>
    </xf>
    <xf numFmtId="0" fontId="7" fillId="11" borderId="5" xfId="0" applyFont="1" applyFill="1" applyBorder="1" applyAlignment="1">
      <alignment vertical="center"/>
    </xf>
    <xf numFmtId="0" fontId="17" fillId="11" borderId="6" xfId="0" applyFont="1" applyFill="1" applyBorder="1" applyAlignment="1">
      <alignment vertical="center"/>
    </xf>
    <xf numFmtId="0" fontId="7" fillId="11" borderId="6" xfId="0" applyFont="1" applyFill="1" applyBorder="1" applyAlignment="1">
      <alignment horizontal="right" vertical="center"/>
    </xf>
    <xf numFmtId="0" fontId="7" fillId="11" borderId="6" xfId="0" applyFont="1" applyFill="1" applyBorder="1" applyAlignment="1">
      <alignment horizontal="right" vertical="center" wrapText="1"/>
    </xf>
    <xf numFmtId="3" fontId="7" fillId="11" borderId="6" xfId="0" applyNumberFormat="1" applyFont="1" applyFill="1" applyBorder="1" applyAlignment="1">
      <alignment horizontal="right" vertical="center"/>
    </xf>
    <xf numFmtId="3" fontId="7" fillId="11" borderId="6" xfId="0" applyNumberFormat="1" applyFont="1" applyFill="1" applyBorder="1" applyAlignment="1">
      <alignment horizontal="right" vertical="center" wrapText="1"/>
    </xf>
    <xf numFmtId="167" fontId="0" fillId="0" borderId="0" xfId="2" applyNumberFormat="1" applyFont="1"/>
    <xf numFmtId="0" fontId="19" fillId="0" borderId="0" xfId="0" applyFont="1"/>
    <xf numFmtId="169" fontId="7" fillId="0" borderId="0" xfId="0" applyNumberFormat="1" applyFont="1" applyAlignment="1">
      <alignment vertical="center"/>
    </xf>
    <xf numFmtId="169" fontId="0" fillId="0" borderId="0" xfId="0" applyNumberFormat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5">
    <cellStyle name="Comma" xfId="2" builtinId="3"/>
    <cellStyle name="Comma 2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70C0"/>
  </sheetPr>
  <dimension ref="A2:Q53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A67" sqref="A67"/>
    </sheetView>
  </sheetViews>
  <sheetFormatPr defaultRowHeight="14.5" x14ac:dyDescent="0.35"/>
  <cols>
    <col min="1" max="1" width="35" bestFit="1" customWidth="1"/>
    <col min="2" max="2" width="10.453125" customWidth="1"/>
    <col min="3" max="14" width="9.1796875" customWidth="1"/>
    <col min="15" max="15" width="3.26953125" customWidth="1"/>
    <col min="16" max="16" width="9.1796875" customWidth="1"/>
  </cols>
  <sheetData>
    <row r="2" spans="1:17" x14ac:dyDescent="0.35">
      <c r="A2" s="1" t="s">
        <v>0</v>
      </c>
      <c r="B2" s="1" t="s">
        <v>1</v>
      </c>
    </row>
    <row r="3" spans="1:17" x14ac:dyDescent="0.35"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P3" s="1" t="s">
        <v>14</v>
      </c>
    </row>
    <row r="4" spans="1:17" hidden="1" x14ac:dyDescent="0.35">
      <c r="A4" t="s">
        <v>15</v>
      </c>
    </row>
    <row r="5" spans="1:17" hidden="1" x14ac:dyDescent="0.35">
      <c r="A5" t="s">
        <v>16</v>
      </c>
    </row>
    <row r="6" spans="1:17" hidden="1" x14ac:dyDescent="0.35">
      <c r="A6" t="s">
        <v>17</v>
      </c>
    </row>
    <row r="7" spans="1:17" hidden="1" x14ac:dyDescent="0.35">
      <c r="A7" t="s">
        <v>18</v>
      </c>
    </row>
    <row r="8" spans="1:17" hidden="1" x14ac:dyDescent="0.35">
      <c r="A8" t="s">
        <v>19</v>
      </c>
    </row>
    <row r="9" spans="1:17" hidden="1" x14ac:dyDescent="0.35">
      <c r="A9" t="s">
        <v>20</v>
      </c>
    </row>
    <row r="10" spans="1:17" x14ac:dyDescent="0.35">
      <c r="A10" t="s">
        <v>21</v>
      </c>
      <c r="B10" s="4" t="s">
        <v>22</v>
      </c>
      <c r="C10" s="12"/>
      <c r="D10" s="12"/>
      <c r="E10" s="12"/>
      <c r="F10" s="10"/>
      <c r="G10" s="10"/>
      <c r="H10" s="10"/>
      <c r="I10" s="10"/>
      <c r="J10" s="7">
        <v>819.7595</v>
      </c>
      <c r="K10" s="7">
        <v>720.27565000000004</v>
      </c>
      <c r="L10" s="7">
        <v>648.92864999999995</v>
      </c>
      <c r="M10" s="6">
        <v>645.5</v>
      </c>
      <c r="N10" s="6">
        <v>546</v>
      </c>
      <c r="P10" s="5">
        <f>SUM(C10:N10)</f>
        <v>3380.4638</v>
      </c>
      <c r="Q10" t="s">
        <v>23</v>
      </c>
    </row>
    <row r="11" spans="1:17" hidden="1" x14ac:dyDescent="0.35">
      <c r="A11" t="s">
        <v>24</v>
      </c>
    </row>
    <row r="12" spans="1:17" hidden="1" x14ac:dyDescent="0.35">
      <c r="A12" t="s">
        <v>25</v>
      </c>
    </row>
    <row r="13" spans="1:17" hidden="1" x14ac:dyDescent="0.35">
      <c r="A13" t="s">
        <v>26</v>
      </c>
    </row>
    <row r="14" spans="1:17" hidden="1" x14ac:dyDescent="0.35">
      <c r="A14" t="s">
        <v>27</v>
      </c>
    </row>
    <row r="15" spans="1:17" hidden="1" x14ac:dyDescent="0.35">
      <c r="A15" t="s">
        <v>28</v>
      </c>
    </row>
    <row r="16" spans="1:17" hidden="1" x14ac:dyDescent="0.35">
      <c r="A16" t="s">
        <v>29</v>
      </c>
    </row>
    <row r="17" spans="1:17" x14ac:dyDescent="0.35">
      <c r="A17" t="s">
        <v>30</v>
      </c>
      <c r="B17" s="4" t="s">
        <v>22</v>
      </c>
      <c r="C17" s="8">
        <v>968.5</v>
      </c>
      <c r="D17" s="8">
        <v>347.5</v>
      </c>
      <c r="E17" s="8">
        <v>670.5</v>
      </c>
      <c r="F17" s="9">
        <v>1688.5</v>
      </c>
      <c r="G17" s="9">
        <v>1241.5</v>
      </c>
      <c r="H17" s="9">
        <v>1266.5</v>
      </c>
      <c r="I17" s="9">
        <v>1244.8499999999999</v>
      </c>
      <c r="J17" s="7">
        <v>1467.62</v>
      </c>
      <c r="K17" s="7">
        <v>1292.4100000000001</v>
      </c>
      <c r="L17" s="7">
        <v>1321.78</v>
      </c>
      <c r="M17" s="6">
        <v>447</v>
      </c>
      <c r="N17" s="6">
        <v>745</v>
      </c>
      <c r="P17" s="5">
        <f>SUM(C17:N17)</f>
        <v>12701.660000000002</v>
      </c>
      <c r="Q17" t="s">
        <v>23</v>
      </c>
    </row>
    <row r="18" spans="1:17" hidden="1" x14ac:dyDescent="0.35">
      <c r="A18" t="s">
        <v>31</v>
      </c>
    </row>
    <row r="19" spans="1:17" hidden="1" x14ac:dyDescent="0.35">
      <c r="A19" t="s">
        <v>32</v>
      </c>
    </row>
    <row r="20" spans="1:17" hidden="1" x14ac:dyDescent="0.35">
      <c r="A20" t="s">
        <v>33</v>
      </c>
    </row>
    <row r="21" spans="1:17" hidden="1" x14ac:dyDescent="0.35">
      <c r="A21" t="s">
        <v>34</v>
      </c>
    </row>
    <row r="22" spans="1:17" hidden="1" x14ac:dyDescent="0.35">
      <c r="A22" t="s">
        <v>35</v>
      </c>
    </row>
    <row r="23" spans="1:17" hidden="1" x14ac:dyDescent="0.35">
      <c r="A23" t="s">
        <v>36</v>
      </c>
    </row>
    <row r="24" spans="1:17" x14ac:dyDescent="0.35">
      <c r="A24" t="s">
        <v>37</v>
      </c>
      <c r="B24" s="4" t="s">
        <v>22</v>
      </c>
      <c r="C24" s="12"/>
      <c r="D24" s="12"/>
      <c r="E24" s="8">
        <v>1215.5</v>
      </c>
      <c r="F24" s="9">
        <v>1886.5</v>
      </c>
      <c r="G24" s="9">
        <v>124</v>
      </c>
      <c r="H24" s="9">
        <v>758.21</v>
      </c>
      <c r="I24" s="9">
        <v>514.79999999999995</v>
      </c>
      <c r="J24" s="7">
        <v>814.3</v>
      </c>
      <c r="K24" s="7">
        <v>768.93</v>
      </c>
      <c r="L24" s="7">
        <v>546.38</v>
      </c>
      <c r="M24" s="6">
        <v>595.5</v>
      </c>
      <c r="N24" s="6">
        <v>596</v>
      </c>
      <c r="P24" s="5">
        <f>SUM(C24:N24)</f>
        <v>7820.1200000000008</v>
      </c>
      <c r="Q24" s="3" t="s">
        <v>38</v>
      </c>
    </row>
    <row r="25" spans="1:17" hidden="1" x14ac:dyDescent="0.35">
      <c r="A25" t="s">
        <v>39</v>
      </c>
    </row>
    <row r="26" spans="1:17" hidden="1" x14ac:dyDescent="0.35">
      <c r="A26" t="s">
        <v>40</v>
      </c>
    </row>
    <row r="27" spans="1:17" hidden="1" x14ac:dyDescent="0.35">
      <c r="A27" t="s">
        <v>41</v>
      </c>
    </row>
    <row r="28" spans="1:17" x14ac:dyDescent="0.35">
      <c r="A28" t="s">
        <v>42</v>
      </c>
      <c r="B28" s="4" t="s">
        <v>22</v>
      </c>
      <c r="C28">
        <v>4343</v>
      </c>
      <c r="D28">
        <v>3405</v>
      </c>
      <c r="E28">
        <v>3058</v>
      </c>
      <c r="F28">
        <v>7194</v>
      </c>
      <c r="G28">
        <v>19147</v>
      </c>
      <c r="H28">
        <v>16672</v>
      </c>
      <c r="I28">
        <v>12229</v>
      </c>
      <c r="J28">
        <v>11687</v>
      </c>
      <c r="K28">
        <v>13092</v>
      </c>
      <c r="L28">
        <v>12307</v>
      </c>
      <c r="P28" s="5">
        <f>SUM(C28:N28)</f>
        <v>103134</v>
      </c>
      <c r="Q28" s="3" t="s">
        <v>38</v>
      </c>
    </row>
    <row r="29" spans="1:17" hidden="1" x14ac:dyDescent="0.35">
      <c r="A29" t="s">
        <v>43</v>
      </c>
    </row>
    <row r="30" spans="1:17" hidden="1" x14ac:dyDescent="0.35">
      <c r="A30" t="s">
        <v>44</v>
      </c>
    </row>
    <row r="31" spans="1:17" hidden="1" x14ac:dyDescent="0.35">
      <c r="A31" t="s">
        <v>45</v>
      </c>
    </row>
    <row r="32" spans="1:17" hidden="1" x14ac:dyDescent="0.35">
      <c r="A32" t="s">
        <v>46</v>
      </c>
    </row>
    <row r="33" spans="1:17" x14ac:dyDescent="0.35">
      <c r="A33" t="s">
        <v>47</v>
      </c>
      <c r="B33" s="4" t="s">
        <v>22</v>
      </c>
      <c r="C33" s="12"/>
      <c r="D33" s="12"/>
      <c r="E33" s="12"/>
      <c r="F33" s="10"/>
      <c r="G33" s="10"/>
      <c r="H33" s="10"/>
      <c r="I33" s="9">
        <v>1564.5</v>
      </c>
      <c r="J33" s="7">
        <v>2235</v>
      </c>
      <c r="K33" s="11">
        <v>822.24</v>
      </c>
      <c r="L33" s="7">
        <v>1415.5</v>
      </c>
      <c r="M33" s="6">
        <v>521.5</v>
      </c>
      <c r="N33" s="6">
        <v>596</v>
      </c>
      <c r="P33" s="5">
        <f>SUM(C33:N33)</f>
        <v>7154.74</v>
      </c>
      <c r="Q33" t="s">
        <v>38</v>
      </c>
    </row>
    <row r="34" spans="1:17" hidden="1" x14ac:dyDescent="0.35">
      <c r="A34" t="s">
        <v>48</v>
      </c>
    </row>
    <row r="35" spans="1:17" hidden="1" x14ac:dyDescent="0.35">
      <c r="A35" t="s">
        <v>49</v>
      </c>
    </row>
    <row r="36" spans="1:17" hidden="1" x14ac:dyDescent="0.35">
      <c r="A36" t="s">
        <v>50</v>
      </c>
    </row>
    <row r="37" spans="1:17" hidden="1" x14ac:dyDescent="0.35">
      <c r="A37" t="s">
        <v>51</v>
      </c>
    </row>
    <row r="38" spans="1:17" hidden="1" x14ac:dyDescent="0.35">
      <c r="A38" t="s">
        <v>52</v>
      </c>
    </row>
    <row r="39" spans="1:17" hidden="1" x14ac:dyDescent="0.35">
      <c r="A39" t="s">
        <v>53</v>
      </c>
    </row>
    <row r="40" spans="1:17" x14ac:dyDescent="0.35">
      <c r="A40" t="s">
        <v>54</v>
      </c>
      <c r="B40" s="4" t="s">
        <v>22</v>
      </c>
      <c r="C40" s="12"/>
      <c r="D40" s="12"/>
      <c r="E40" s="8">
        <v>372.5</v>
      </c>
      <c r="F40" s="9">
        <v>670.5</v>
      </c>
      <c r="G40" s="9">
        <v>149</v>
      </c>
      <c r="H40" s="9">
        <v>306.04000000000002</v>
      </c>
      <c r="I40" s="9">
        <v>403.86</v>
      </c>
      <c r="J40" s="7">
        <v>298</v>
      </c>
      <c r="K40" s="7">
        <v>223.5</v>
      </c>
      <c r="L40" s="7">
        <v>223.5</v>
      </c>
      <c r="M40" s="6">
        <v>149</v>
      </c>
      <c r="N40" s="6">
        <v>149</v>
      </c>
      <c r="P40" s="5">
        <f>SUM(C40:N40)</f>
        <v>2944.9</v>
      </c>
      <c r="Q40" t="s">
        <v>38</v>
      </c>
    </row>
    <row r="41" spans="1:17" x14ac:dyDescent="0.35">
      <c r="A41" t="s">
        <v>55</v>
      </c>
      <c r="B41" s="4" t="s">
        <v>22</v>
      </c>
      <c r="C41" s="8">
        <v>4817</v>
      </c>
      <c r="D41" s="8">
        <v>3898.5</v>
      </c>
      <c r="E41" s="8">
        <v>3327.5</v>
      </c>
      <c r="F41" s="9">
        <v>4445</v>
      </c>
      <c r="G41" s="9">
        <v>3724.5</v>
      </c>
      <c r="H41" s="9">
        <v>4707.07</v>
      </c>
      <c r="I41" s="9">
        <v>3004.5</v>
      </c>
      <c r="J41" s="7">
        <v>4867</v>
      </c>
      <c r="K41" s="7">
        <v>2136.7800000000002</v>
      </c>
      <c r="L41" s="7">
        <v>1862.5</v>
      </c>
      <c r="M41" s="6">
        <v>1266.5</v>
      </c>
      <c r="N41" s="6">
        <v>521.5</v>
      </c>
      <c r="P41" s="5">
        <f>SUM(C41:N41)</f>
        <v>38578.35</v>
      </c>
      <c r="Q41" t="s">
        <v>38</v>
      </c>
    </row>
    <row r="42" spans="1:17" hidden="1" x14ac:dyDescent="0.35">
      <c r="A42" t="s">
        <v>56</v>
      </c>
    </row>
    <row r="43" spans="1:17" hidden="1" x14ac:dyDescent="0.35">
      <c r="A43" t="s">
        <v>57</v>
      </c>
    </row>
    <row r="44" spans="1:17" hidden="1" x14ac:dyDescent="0.35">
      <c r="A44" t="s">
        <v>58</v>
      </c>
    </row>
    <row r="45" spans="1:17" hidden="1" x14ac:dyDescent="0.35"/>
    <row r="46" spans="1:17" hidden="1" x14ac:dyDescent="0.35"/>
    <row r="47" spans="1:17" hidden="1" x14ac:dyDescent="0.35"/>
    <row r="48" spans="1:17" hidden="1" x14ac:dyDescent="0.35"/>
    <row r="49" spans="1:16" hidden="1" x14ac:dyDescent="0.35">
      <c r="A49" s="2" t="s">
        <v>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6" hidden="1" x14ac:dyDescent="0.35">
      <c r="A50" s="2" t="s">
        <v>60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6" hidden="1" x14ac:dyDescent="0.35">
      <c r="A51" s="2" t="s">
        <v>61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3" spans="1:16" x14ac:dyDescent="0.35">
      <c r="P53" s="5">
        <f>SUM(P10:P41)</f>
        <v>175714.23379999999</v>
      </c>
    </row>
  </sheetData>
  <autoFilter ref="A3:Q51" xr:uid="{00000000-0009-0000-0000-000000000000}">
    <filterColumn colId="1">
      <customFilters>
        <customFilter operator="notEqual" val=" "/>
      </customFilters>
    </filterColumn>
  </autoFilter>
  <sortState xmlns:xlrd2="http://schemas.microsoft.com/office/spreadsheetml/2017/richdata2" ref="A4:A47">
    <sortCondition ref="A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2:P14"/>
  <sheetViews>
    <sheetView workbookViewId="0">
      <selection activeCell="E8" sqref="E8"/>
    </sheetView>
  </sheetViews>
  <sheetFormatPr defaultRowHeight="14.5" x14ac:dyDescent="0.35"/>
  <cols>
    <col min="1" max="1" width="19.81640625" bestFit="1" customWidth="1"/>
    <col min="15" max="15" width="9.54296875" bestFit="1" customWidth="1"/>
  </cols>
  <sheetData>
    <row r="2" spans="1:16" x14ac:dyDescent="0.3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O2" s="1" t="s">
        <v>75</v>
      </c>
    </row>
    <row r="3" spans="1:16" x14ac:dyDescent="0.35">
      <c r="A3" t="s">
        <v>76</v>
      </c>
      <c r="O3" s="13">
        <f>SUM(B3:M3)</f>
        <v>0</v>
      </c>
    </row>
    <row r="4" spans="1:16" x14ac:dyDescent="0.35">
      <c r="A4" t="s">
        <v>77</v>
      </c>
      <c r="C4">
        <v>74.5</v>
      </c>
      <c r="D4">
        <v>74.5</v>
      </c>
      <c r="E4">
        <v>170</v>
      </c>
      <c r="H4">
        <v>1189</v>
      </c>
      <c r="O4" s="13">
        <f t="shared" ref="O4:O14" si="0">SUM(B4:M4)</f>
        <v>1508</v>
      </c>
    </row>
    <row r="5" spans="1:16" x14ac:dyDescent="0.35">
      <c r="A5" t="s">
        <v>29</v>
      </c>
      <c r="O5" s="13">
        <f t="shared" si="0"/>
        <v>0</v>
      </c>
    </row>
    <row r="6" spans="1:16" x14ac:dyDescent="0.35">
      <c r="A6" t="s">
        <v>30</v>
      </c>
      <c r="B6">
        <v>861</v>
      </c>
      <c r="C6">
        <v>447</v>
      </c>
      <c r="D6">
        <v>1267</v>
      </c>
      <c r="E6">
        <v>340</v>
      </c>
      <c r="G6">
        <v>103</v>
      </c>
      <c r="H6">
        <v>310</v>
      </c>
      <c r="I6">
        <v>174</v>
      </c>
      <c r="J6">
        <v>207</v>
      </c>
      <c r="O6" s="13">
        <f t="shared" si="0"/>
        <v>3709</v>
      </c>
    </row>
    <row r="7" spans="1:16" x14ac:dyDescent="0.35">
      <c r="A7" t="s">
        <v>78</v>
      </c>
      <c r="G7">
        <v>71</v>
      </c>
      <c r="H7">
        <v>417</v>
      </c>
      <c r="I7">
        <v>112</v>
      </c>
      <c r="J7">
        <v>386</v>
      </c>
      <c r="K7">
        <v>103</v>
      </c>
      <c r="O7" s="13">
        <f t="shared" si="0"/>
        <v>1089</v>
      </c>
    </row>
    <row r="8" spans="1:16" x14ac:dyDescent="0.35">
      <c r="A8" t="s">
        <v>79</v>
      </c>
      <c r="B8">
        <v>149</v>
      </c>
      <c r="C8">
        <v>298</v>
      </c>
      <c r="D8">
        <v>149</v>
      </c>
      <c r="E8">
        <v>170</v>
      </c>
      <c r="O8" s="13">
        <f t="shared" si="0"/>
        <v>766</v>
      </c>
    </row>
    <row r="9" spans="1:16" x14ac:dyDescent="0.35">
      <c r="A9" t="s">
        <v>80</v>
      </c>
      <c r="B9">
        <v>2802</v>
      </c>
      <c r="C9">
        <v>3546</v>
      </c>
      <c r="D9">
        <v>3650.5</v>
      </c>
      <c r="E9">
        <v>3570</v>
      </c>
      <c r="G9">
        <v>3282</v>
      </c>
      <c r="H9">
        <v>3091.5</v>
      </c>
      <c r="I9">
        <v>4435</v>
      </c>
      <c r="J9">
        <v>2811</v>
      </c>
      <c r="K9">
        <v>1954</v>
      </c>
      <c r="L9">
        <v>1376</v>
      </c>
      <c r="M9">
        <v>99</v>
      </c>
      <c r="O9" s="13">
        <f t="shared" si="0"/>
        <v>30617</v>
      </c>
      <c r="P9" s="13"/>
    </row>
    <row r="10" spans="1:16" x14ac:dyDescent="0.35">
      <c r="A10" t="s">
        <v>81</v>
      </c>
      <c r="B10">
        <v>522</v>
      </c>
      <c r="C10">
        <v>75</v>
      </c>
      <c r="G10">
        <v>71</v>
      </c>
      <c r="H10">
        <v>315</v>
      </c>
      <c r="I10">
        <v>71</v>
      </c>
      <c r="J10">
        <v>141</v>
      </c>
      <c r="K10">
        <v>71</v>
      </c>
      <c r="O10" s="13">
        <f t="shared" si="0"/>
        <v>1266</v>
      </c>
    </row>
    <row r="11" spans="1:16" x14ac:dyDescent="0.35">
      <c r="A11" t="s">
        <v>82</v>
      </c>
      <c r="O11" s="13">
        <f t="shared" si="0"/>
        <v>0</v>
      </c>
    </row>
    <row r="12" spans="1:16" x14ac:dyDescent="0.35">
      <c r="A12" t="s">
        <v>83</v>
      </c>
      <c r="B12">
        <v>74.5</v>
      </c>
      <c r="C12">
        <v>223.5</v>
      </c>
      <c r="D12">
        <v>223.5</v>
      </c>
      <c r="O12" s="13">
        <f t="shared" si="0"/>
        <v>521.5</v>
      </c>
    </row>
    <row r="13" spans="1:16" x14ac:dyDescent="0.35">
      <c r="A13" t="s">
        <v>84</v>
      </c>
      <c r="B13">
        <v>670.5</v>
      </c>
      <c r="O13" s="13">
        <f t="shared" si="0"/>
        <v>670.5</v>
      </c>
    </row>
    <row r="14" spans="1:16" x14ac:dyDescent="0.35">
      <c r="A14" t="s">
        <v>85</v>
      </c>
      <c r="G14">
        <v>174</v>
      </c>
      <c r="H14">
        <v>310</v>
      </c>
      <c r="I14">
        <v>174</v>
      </c>
      <c r="J14">
        <v>207</v>
      </c>
      <c r="O14" s="13">
        <f t="shared" si="0"/>
        <v>865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J15"/>
  <sheetViews>
    <sheetView workbookViewId="0">
      <selection activeCell="J15" sqref="J15"/>
    </sheetView>
  </sheetViews>
  <sheetFormatPr defaultRowHeight="14.5" x14ac:dyDescent="0.35"/>
  <cols>
    <col min="1" max="1" width="34.453125" bestFit="1" customWidth="1"/>
    <col min="2" max="2" width="10.54296875" customWidth="1"/>
    <col min="3" max="3" width="10.26953125" customWidth="1"/>
    <col min="4" max="4" width="12" customWidth="1"/>
    <col min="6" max="8" width="12.1796875" customWidth="1"/>
  </cols>
  <sheetData>
    <row r="2" spans="1:10" x14ac:dyDescent="0.35">
      <c r="A2" s="1" t="s">
        <v>86</v>
      </c>
    </row>
    <row r="3" spans="1:10" ht="58" x14ac:dyDescent="0.35">
      <c r="A3" s="1"/>
      <c r="B3" s="15" t="s">
        <v>87</v>
      </c>
      <c r="C3" s="15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</row>
    <row r="4" spans="1:10" x14ac:dyDescent="0.35">
      <c r="A4" t="s">
        <v>76</v>
      </c>
      <c r="B4" s="14">
        <v>42231</v>
      </c>
      <c r="C4" s="14">
        <v>44057</v>
      </c>
      <c r="D4" s="4" t="s">
        <v>94</v>
      </c>
      <c r="E4">
        <f>53*65</f>
        <v>3445</v>
      </c>
      <c r="F4">
        <v>0</v>
      </c>
      <c r="G4">
        <v>0</v>
      </c>
      <c r="H4">
        <v>0</v>
      </c>
    </row>
    <row r="5" spans="1:10" x14ac:dyDescent="0.35">
      <c r="A5" t="s">
        <v>21</v>
      </c>
      <c r="B5" s="14">
        <v>41900</v>
      </c>
      <c r="C5" s="14">
        <v>42447</v>
      </c>
      <c r="D5" s="4" t="s">
        <v>95</v>
      </c>
      <c r="E5">
        <v>0</v>
      </c>
      <c r="F5" s="13">
        <f>3380.4638*2</f>
        <v>6760.9276</v>
      </c>
      <c r="G5" s="13">
        <f>319*2</f>
        <v>638</v>
      </c>
      <c r="H5">
        <v>0</v>
      </c>
    </row>
    <row r="6" spans="1:10" x14ac:dyDescent="0.35">
      <c r="A6" t="s">
        <v>30</v>
      </c>
      <c r="B6" s="14">
        <v>42203</v>
      </c>
      <c r="C6" s="14">
        <v>43298</v>
      </c>
      <c r="D6" s="4" t="s">
        <v>95</v>
      </c>
      <c r="E6">
        <v>0</v>
      </c>
      <c r="F6" s="13">
        <f>12701.66*2</f>
        <v>25403.32</v>
      </c>
      <c r="G6" s="13">
        <f>2915*2</f>
        <v>5830</v>
      </c>
      <c r="H6">
        <v>0</v>
      </c>
    </row>
    <row r="7" spans="1:10" x14ac:dyDescent="0.35">
      <c r="A7" t="s">
        <v>42</v>
      </c>
      <c r="B7" s="14">
        <v>41730</v>
      </c>
      <c r="C7" s="14">
        <v>42185</v>
      </c>
      <c r="D7" s="4" t="s">
        <v>96</v>
      </c>
      <c r="E7">
        <v>759000</v>
      </c>
      <c r="F7" s="13">
        <v>147336</v>
      </c>
      <c r="G7" s="13">
        <v>19384</v>
      </c>
      <c r="H7" s="13">
        <f>E7-(F7+G7)</f>
        <v>592280</v>
      </c>
    </row>
    <row r="8" spans="1:10" x14ac:dyDescent="0.35">
      <c r="A8" t="s">
        <v>47</v>
      </c>
      <c r="B8" s="14">
        <v>41760</v>
      </c>
      <c r="C8" s="14">
        <v>42428</v>
      </c>
      <c r="D8" s="4" t="s">
        <v>97</v>
      </c>
      <c r="E8">
        <v>51000</v>
      </c>
      <c r="F8" s="13">
        <f>7154.74*2</f>
        <v>14309.48</v>
      </c>
      <c r="G8" s="13">
        <f>596*2</f>
        <v>1192</v>
      </c>
      <c r="H8" s="13">
        <f>E8-(F8+G8)</f>
        <v>35498.520000000004</v>
      </c>
    </row>
    <row r="9" spans="1:10" x14ac:dyDescent="0.35">
      <c r="A9" t="s">
        <v>29</v>
      </c>
      <c r="B9" s="14">
        <v>42045</v>
      </c>
      <c r="C9" s="14">
        <v>43229</v>
      </c>
      <c r="D9" s="4" t="s">
        <v>95</v>
      </c>
    </row>
    <row r="10" spans="1:10" x14ac:dyDescent="0.35">
      <c r="A10" t="s">
        <v>78</v>
      </c>
      <c r="B10" s="14">
        <v>42094</v>
      </c>
      <c r="C10" s="14">
        <v>42916</v>
      </c>
      <c r="D10" s="4" t="s">
        <v>97</v>
      </c>
    </row>
    <row r="11" spans="1:10" x14ac:dyDescent="0.35">
      <c r="A11" t="s">
        <v>82</v>
      </c>
      <c r="B11" s="14">
        <v>42241</v>
      </c>
      <c r="C11" s="14">
        <v>43429</v>
      </c>
      <c r="D11" s="4" t="s">
        <v>95</v>
      </c>
    </row>
    <row r="12" spans="1:10" x14ac:dyDescent="0.35">
      <c r="A12" t="s">
        <v>85</v>
      </c>
      <c r="B12" s="14">
        <v>42198</v>
      </c>
      <c r="C12" s="14">
        <v>43386</v>
      </c>
      <c r="D12" s="4" t="s">
        <v>95</v>
      </c>
    </row>
    <row r="13" spans="1:10" x14ac:dyDescent="0.35">
      <c r="A13" s="17" t="s">
        <v>37</v>
      </c>
      <c r="B13" s="18">
        <v>41744</v>
      </c>
      <c r="C13" s="18">
        <v>42216</v>
      </c>
      <c r="D13" s="19" t="s">
        <v>96</v>
      </c>
      <c r="E13" s="17">
        <v>150000</v>
      </c>
      <c r="F13" s="20">
        <f>7820.12*2</f>
        <v>15640.24</v>
      </c>
      <c r="G13" s="20">
        <v>766</v>
      </c>
      <c r="H13" s="20">
        <f>E13-(F13+G13)</f>
        <v>133593.76</v>
      </c>
      <c r="J13" s="17" t="s">
        <v>98</v>
      </c>
    </row>
    <row r="14" spans="1:10" x14ac:dyDescent="0.35">
      <c r="A14" s="17" t="s">
        <v>54</v>
      </c>
      <c r="B14" s="18">
        <v>41725</v>
      </c>
      <c r="C14" s="18">
        <v>42181</v>
      </c>
      <c r="D14" s="19" t="s">
        <v>96</v>
      </c>
      <c r="E14" s="17">
        <v>100000</v>
      </c>
      <c r="F14" s="20">
        <f>2944.9*2</f>
        <v>5889.8</v>
      </c>
      <c r="G14" s="20">
        <v>521.5</v>
      </c>
      <c r="H14" s="20">
        <f>E14-(F14+G14)</f>
        <v>93588.7</v>
      </c>
      <c r="J14" s="17" t="s">
        <v>98</v>
      </c>
    </row>
    <row r="15" spans="1:10" x14ac:dyDescent="0.35">
      <c r="A15" s="17" t="s">
        <v>55</v>
      </c>
      <c r="B15" s="18">
        <v>41659</v>
      </c>
      <c r="C15" s="18">
        <v>42113</v>
      </c>
      <c r="D15" s="19" t="s">
        <v>96</v>
      </c>
      <c r="E15" s="17">
        <v>200000</v>
      </c>
      <c r="F15" s="20">
        <f>38578.35*2</f>
        <v>77156.7</v>
      </c>
      <c r="G15" s="20">
        <v>670.5</v>
      </c>
      <c r="H15" s="20">
        <f>E15-(F15+G15)</f>
        <v>122172.8</v>
      </c>
      <c r="J15" s="17" t="s">
        <v>98</v>
      </c>
    </row>
  </sheetData>
  <sortState xmlns:xlrd2="http://schemas.microsoft.com/office/spreadsheetml/2017/richdata2" ref="A4:A10">
    <sortCondition ref="A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90"/>
  <sheetViews>
    <sheetView tabSelected="1" workbookViewId="0">
      <selection activeCell="A2" sqref="A2"/>
    </sheetView>
  </sheetViews>
  <sheetFormatPr defaultRowHeight="14.5" x14ac:dyDescent="0.35"/>
  <cols>
    <col min="1" max="1" width="38.7265625" bestFit="1" customWidth="1"/>
    <col min="2" max="2" width="16" bestFit="1" customWidth="1"/>
    <col min="3" max="3" width="17.08984375" bestFit="1" customWidth="1"/>
    <col min="4" max="4" width="10.36328125" bestFit="1" customWidth="1"/>
    <col min="5" max="5" width="11" bestFit="1" customWidth="1"/>
    <col min="6" max="6" width="15.08984375" bestFit="1" customWidth="1"/>
    <col min="7" max="7" width="17.1796875" bestFit="1" customWidth="1"/>
    <col min="8" max="8" width="14.6328125" bestFit="1" customWidth="1"/>
    <col min="9" max="9" width="14.36328125" bestFit="1" customWidth="1"/>
    <col min="10" max="10" width="38.36328125" bestFit="1" customWidth="1"/>
    <col min="11" max="11" width="38.1796875" bestFit="1" customWidth="1"/>
    <col min="12" max="12" width="14.54296875" bestFit="1" customWidth="1"/>
    <col min="13" max="13" width="15.26953125" bestFit="1" customWidth="1"/>
    <col min="14" max="15" width="10.7265625" bestFit="1" customWidth="1"/>
    <col min="16" max="16" width="13.1796875" bestFit="1" customWidth="1"/>
    <col min="17" max="17" width="13.90625" bestFit="1" customWidth="1"/>
    <col min="18" max="18" width="12.36328125" bestFit="1" customWidth="1"/>
    <col min="19" max="19" width="11.26953125" bestFit="1" customWidth="1"/>
    <col min="20" max="20" width="12.54296875" bestFit="1" customWidth="1"/>
    <col min="21" max="21" width="11.54296875" bestFit="1" customWidth="1"/>
  </cols>
  <sheetData>
    <row r="1" spans="1:21" x14ac:dyDescent="0.3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</row>
    <row r="2" spans="1:21" x14ac:dyDescent="0.35">
      <c r="A2" t="s">
        <v>120</v>
      </c>
      <c r="B2" t="s">
        <v>121</v>
      </c>
      <c r="C2" t="s">
        <v>122</v>
      </c>
      <c r="D2" t="s">
        <v>123</v>
      </c>
      <c r="G2">
        <v>24</v>
      </c>
      <c r="H2">
        <v>42222</v>
      </c>
      <c r="I2">
        <v>42471</v>
      </c>
      <c r="J2">
        <v>42523</v>
      </c>
      <c r="K2">
        <v>9</v>
      </c>
      <c r="L2">
        <v>42627</v>
      </c>
      <c r="M2" t="s">
        <v>124</v>
      </c>
      <c r="N2">
        <v>42632</v>
      </c>
      <c r="O2">
        <v>22248</v>
      </c>
      <c r="P2">
        <v>42634</v>
      </c>
      <c r="Q2">
        <v>42634</v>
      </c>
      <c r="R2">
        <v>22156</v>
      </c>
      <c r="S2">
        <v>51702151</v>
      </c>
      <c r="T2">
        <v>42696</v>
      </c>
    </row>
    <row r="3" spans="1:21" x14ac:dyDescent="0.35">
      <c r="A3" t="s">
        <v>120</v>
      </c>
      <c r="B3" t="s">
        <v>125</v>
      </c>
      <c r="C3" t="s">
        <v>122</v>
      </c>
      <c r="D3" t="s">
        <v>123</v>
      </c>
      <c r="G3">
        <v>56</v>
      </c>
      <c r="H3">
        <v>42307</v>
      </c>
      <c r="I3">
        <v>42471</v>
      </c>
      <c r="J3">
        <v>42523</v>
      </c>
      <c r="K3">
        <v>9</v>
      </c>
      <c r="L3">
        <v>42627</v>
      </c>
      <c r="M3" t="s">
        <v>124</v>
      </c>
      <c r="N3">
        <v>42632</v>
      </c>
      <c r="O3">
        <v>22248</v>
      </c>
      <c r="P3">
        <v>42634</v>
      </c>
      <c r="Q3">
        <v>42634</v>
      </c>
      <c r="R3">
        <v>22156</v>
      </c>
      <c r="S3">
        <v>51702151</v>
      </c>
      <c r="T3">
        <v>42696</v>
      </c>
    </row>
    <row r="4" spans="1:21" x14ac:dyDescent="0.35">
      <c r="A4" t="s">
        <v>77</v>
      </c>
      <c r="B4" t="s">
        <v>126</v>
      </c>
      <c r="C4" t="s">
        <v>127</v>
      </c>
      <c r="D4" t="s">
        <v>128</v>
      </c>
      <c r="G4">
        <v>319</v>
      </c>
      <c r="H4">
        <v>42297</v>
      </c>
      <c r="I4">
        <v>42298</v>
      </c>
      <c r="J4">
        <v>42325</v>
      </c>
      <c r="K4">
        <v>3</v>
      </c>
    </row>
    <row r="5" spans="1:21" x14ac:dyDescent="0.35">
      <c r="A5" t="s">
        <v>30</v>
      </c>
      <c r="B5" t="s">
        <v>126</v>
      </c>
      <c r="C5" t="s">
        <v>127</v>
      </c>
      <c r="D5" t="s">
        <v>128</v>
      </c>
      <c r="F5">
        <f>G5*2</f>
        <v>5830</v>
      </c>
      <c r="G5">
        <v>2915</v>
      </c>
      <c r="H5">
        <v>42297</v>
      </c>
      <c r="I5">
        <v>42298</v>
      </c>
      <c r="J5">
        <v>42325</v>
      </c>
      <c r="K5">
        <v>3</v>
      </c>
      <c r="L5">
        <v>42327</v>
      </c>
    </row>
    <row r="6" spans="1:21" x14ac:dyDescent="0.35">
      <c r="A6" t="s">
        <v>79</v>
      </c>
      <c r="B6" t="s">
        <v>126</v>
      </c>
      <c r="C6" t="s">
        <v>127</v>
      </c>
      <c r="D6" t="s">
        <v>128</v>
      </c>
      <c r="G6">
        <v>766</v>
      </c>
      <c r="H6">
        <v>42297</v>
      </c>
      <c r="I6">
        <v>42298</v>
      </c>
    </row>
    <row r="7" spans="1:21" x14ac:dyDescent="0.35">
      <c r="A7" t="s">
        <v>80</v>
      </c>
      <c r="B7" t="s">
        <v>126</v>
      </c>
      <c r="C7" t="s">
        <v>127</v>
      </c>
      <c r="D7" t="s">
        <v>128</v>
      </c>
      <c r="G7">
        <v>13569</v>
      </c>
      <c r="H7">
        <v>42297</v>
      </c>
      <c r="I7">
        <v>42298</v>
      </c>
    </row>
    <row r="8" spans="1:21" x14ac:dyDescent="0.35">
      <c r="A8" t="s">
        <v>83</v>
      </c>
      <c r="B8" t="s">
        <v>126</v>
      </c>
      <c r="C8" t="s">
        <v>127</v>
      </c>
      <c r="D8" t="s">
        <v>128</v>
      </c>
      <c r="G8">
        <v>522</v>
      </c>
      <c r="H8">
        <v>42297</v>
      </c>
      <c r="I8">
        <v>42298</v>
      </c>
      <c r="J8">
        <v>42325</v>
      </c>
      <c r="K8">
        <v>3</v>
      </c>
    </row>
    <row r="9" spans="1:21" x14ac:dyDescent="0.35">
      <c r="A9" t="s">
        <v>84</v>
      </c>
      <c r="B9" t="s">
        <v>129</v>
      </c>
      <c r="C9" t="s">
        <v>127</v>
      </c>
      <c r="D9" t="s">
        <v>128</v>
      </c>
      <c r="G9">
        <v>671</v>
      </c>
      <c r="H9">
        <v>42297</v>
      </c>
      <c r="I9">
        <v>42298</v>
      </c>
      <c r="J9">
        <v>42325</v>
      </c>
      <c r="K9">
        <v>3</v>
      </c>
    </row>
    <row r="10" spans="1:21" x14ac:dyDescent="0.35">
      <c r="A10" t="s">
        <v>120</v>
      </c>
      <c r="B10" t="s">
        <v>130</v>
      </c>
      <c r="C10" t="s">
        <v>122</v>
      </c>
      <c r="D10" t="s">
        <v>123</v>
      </c>
      <c r="G10">
        <v>12</v>
      </c>
      <c r="H10">
        <v>42352</v>
      </c>
      <c r="I10">
        <v>42381</v>
      </c>
      <c r="J10">
        <v>42339</v>
      </c>
      <c r="K10">
        <v>5</v>
      </c>
      <c r="L10">
        <v>42627</v>
      </c>
      <c r="M10" t="s">
        <v>124</v>
      </c>
      <c r="N10">
        <v>42632</v>
      </c>
      <c r="O10">
        <v>22248</v>
      </c>
      <c r="P10">
        <v>42634</v>
      </c>
      <c r="Q10">
        <v>42634</v>
      </c>
      <c r="R10">
        <v>22156</v>
      </c>
      <c r="S10">
        <v>51702151</v>
      </c>
      <c r="T10">
        <v>42696</v>
      </c>
    </row>
    <row r="11" spans="1:21" x14ac:dyDescent="0.35">
      <c r="A11" t="s">
        <v>120</v>
      </c>
      <c r="B11" t="s">
        <v>131</v>
      </c>
      <c r="C11" t="s">
        <v>132</v>
      </c>
      <c r="D11" t="s">
        <v>123</v>
      </c>
      <c r="G11">
        <v>6</v>
      </c>
      <c r="H11">
        <v>42397</v>
      </c>
      <c r="I11">
        <v>42446</v>
      </c>
      <c r="J11">
        <v>42446</v>
      </c>
      <c r="K11">
        <v>7</v>
      </c>
      <c r="L11">
        <v>42627</v>
      </c>
      <c r="M11" t="s">
        <v>124</v>
      </c>
      <c r="N11">
        <v>42632</v>
      </c>
      <c r="O11">
        <v>22248</v>
      </c>
      <c r="P11">
        <v>42634</v>
      </c>
      <c r="Q11">
        <v>42634</v>
      </c>
      <c r="R11">
        <v>22156</v>
      </c>
      <c r="S11">
        <v>51702151</v>
      </c>
      <c r="T11">
        <v>42696</v>
      </c>
    </row>
    <row r="12" spans="1:21" x14ac:dyDescent="0.35">
      <c r="A12" t="s">
        <v>77</v>
      </c>
      <c r="B12" t="s">
        <v>133</v>
      </c>
      <c r="C12" t="s">
        <v>127</v>
      </c>
      <c r="D12" t="s">
        <v>128</v>
      </c>
      <c r="G12">
        <v>1189</v>
      </c>
      <c r="H12">
        <v>42438</v>
      </c>
      <c r="I12">
        <v>42450</v>
      </c>
      <c r="J12">
        <v>42507</v>
      </c>
      <c r="K12">
        <v>9</v>
      </c>
    </row>
    <row r="13" spans="1:21" x14ac:dyDescent="0.35">
      <c r="A13" t="s">
        <v>30</v>
      </c>
      <c r="B13" t="s">
        <v>133</v>
      </c>
      <c r="C13" t="s">
        <v>127</v>
      </c>
      <c r="D13" t="s">
        <v>128</v>
      </c>
      <c r="F13">
        <f>G13*2</f>
        <v>1588</v>
      </c>
      <c r="G13">
        <v>794</v>
      </c>
      <c r="H13">
        <v>42438</v>
      </c>
      <c r="I13">
        <v>42450</v>
      </c>
      <c r="J13">
        <v>42507</v>
      </c>
      <c r="K13">
        <v>9</v>
      </c>
      <c r="L13">
        <v>42562</v>
      </c>
    </row>
    <row r="14" spans="1:21" x14ac:dyDescent="0.35">
      <c r="A14" t="s">
        <v>78</v>
      </c>
      <c r="B14" t="s">
        <v>133</v>
      </c>
      <c r="C14" t="s">
        <v>127</v>
      </c>
      <c r="D14" t="s">
        <v>128</v>
      </c>
      <c r="F14">
        <f>G14*2</f>
        <v>2176</v>
      </c>
      <c r="G14">
        <v>1088</v>
      </c>
      <c r="H14">
        <v>42438</v>
      </c>
      <c r="I14">
        <v>42450</v>
      </c>
      <c r="J14">
        <v>42507</v>
      </c>
      <c r="K14">
        <v>9</v>
      </c>
      <c r="L14">
        <v>42513</v>
      </c>
    </row>
    <row r="15" spans="1:21" x14ac:dyDescent="0.35">
      <c r="A15" t="s">
        <v>120</v>
      </c>
      <c r="B15" t="s">
        <v>133</v>
      </c>
      <c r="C15" t="s">
        <v>127</v>
      </c>
      <c r="D15" t="s">
        <v>128</v>
      </c>
      <c r="G15">
        <v>13312</v>
      </c>
      <c r="H15">
        <v>42438</v>
      </c>
      <c r="I15">
        <v>42450</v>
      </c>
      <c r="J15">
        <v>42507</v>
      </c>
      <c r="K15">
        <v>9</v>
      </c>
      <c r="L15">
        <v>42627</v>
      </c>
      <c r="M15" t="s">
        <v>124</v>
      </c>
      <c r="N15">
        <v>42632</v>
      </c>
      <c r="O15">
        <v>22248</v>
      </c>
      <c r="P15">
        <v>42634</v>
      </c>
      <c r="Q15">
        <v>42634</v>
      </c>
      <c r="R15">
        <v>22156</v>
      </c>
      <c r="S15">
        <v>51702151</v>
      </c>
      <c r="T15">
        <v>42696</v>
      </c>
    </row>
    <row r="16" spans="1:21" x14ac:dyDescent="0.35">
      <c r="A16" t="s">
        <v>80</v>
      </c>
      <c r="B16" t="s">
        <v>133</v>
      </c>
      <c r="C16" t="s">
        <v>127</v>
      </c>
      <c r="D16" t="s">
        <v>128</v>
      </c>
      <c r="G16">
        <v>15331.400000000001</v>
      </c>
      <c r="H16">
        <v>42438</v>
      </c>
      <c r="I16">
        <v>42450</v>
      </c>
    </row>
    <row r="17" spans="1:20" x14ac:dyDescent="0.35">
      <c r="A17" t="s">
        <v>134</v>
      </c>
      <c r="B17" t="s">
        <v>133</v>
      </c>
      <c r="C17" t="s">
        <v>127</v>
      </c>
      <c r="D17" t="s">
        <v>128</v>
      </c>
      <c r="F17">
        <f>G17*2</f>
        <v>1728</v>
      </c>
      <c r="G17">
        <v>864</v>
      </c>
      <c r="H17">
        <v>42438</v>
      </c>
      <c r="I17">
        <v>42450</v>
      </c>
      <c r="J17">
        <v>42507</v>
      </c>
      <c r="K17">
        <v>9</v>
      </c>
      <c r="L17">
        <v>42775</v>
      </c>
    </row>
    <row r="18" spans="1:20" x14ac:dyDescent="0.35">
      <c r="A18" t="s">
        <v>120</v>
      </c>
      <c r="B18" t="s">
        <v>135</v>
      </c>
      <c r="C18" t="s">
        <v>122</v>
      </c>
      <c r="D18" t="s">
        <v>123</v>
      </c>
      <c r="G18">
        <v>11</v>
      </c>
      <c r="H18">
        <v>42489</v>
      </c>
      <c r="I18">
        <v>42492</v>
      </c>
      <c r="J18">
        <v>42507</v>
      </c>
      <c r="K18">
        <v>9</v>
      </c>
      <c r="L18">
        <v>42627</v>
      </c>
      <c r="M18" t="s">
        <v>124</v>
      </c>
      <c r="N18">
        <v>42632</v>
      </c>
      <c r="O18">
        <v>22248</v>
      </c>
      <c r="P18">
        <v>42634</v>
      </c>
      <c r="Q18">
        <v>42634</v>
      </c>
      <c r="R18">
        <v>22156</v>
      </c>
      <c r="S18">
        <v>51702151</v>
      </c>
      <c r="T18">
        <v>42696</v>
      </c>
    </row>
    <row r="19" spans="1:20" x14ac:dyDescent="0.35">
      <c r="A19" t="s">
        <v>30</v>
      </c>
      <c r="B19" t="s">
        <v>136</v>
      </c>
      <c r="C19" t="s">
        <v>127</v>
      </c>
      <c r="D19" t="s">
        <v>128</v>
      </c>
      <c r="F19">
        <f>G19*2</f>
        <v>348</v>
      </c>
      <c r="G19">
        <v>174</v>
      </c>
      <c r="H19">
        <v>42524</v>
      </c>
      <c r="I19">
        <v>42530</v>
      </c>
      <c r="J19">
        <v>42550</v>
      </c>
      <c r="K19">
        <v>12</v>
      </c>
      <c r="L19">
        <v>42562</v>
      </c>
    </row>
    <row r="20" spans="1:20" x14ac:dyDescent="0.35">
      <c r="A20" t="s">
        <v>120</v>
      </c>
      <c r="B20" t="s">
        <v>136</v>
      </c>
      <c r="C20" t="s">
        <v>127</v>
      </c>
      <c r="D20" t="s">
        <v>128</v>
      </c>
      <c r="G20">
        <v>5924</v>
      </c>
      <c r="H20">
        <v>42531</v>
      </c>
      <c r="I20">
        <v>42534</v>
      </c>
      <c r="J20">
        <v>42550</v>
      </c>
      <c r="K20">
        <v>12</v>
      </c>
      <c r="L20">
        <v>42627</v>
      </c>
      <c r="M20" t="s">
        <v>124</v>
      </c>
      <c r="N20">
        <v>42632</v>
      </c>
      <c r="O20">
        <v>22248</v>
      </c>
      <c r="P20">
        <v>42634</v>
      </c>
      <c r="Q20">
        <v>42634</v>
      </c>
      <c r="R20">
        <v>22156</v>
      </c>
      <c r="S20">
        <v>51702151</v>
      </c>
      <c r="T20">
        <v>42696</v>
      </c>
    </row>
    <row r="21" spans="1:20" x14ac:dyDescent="0.35">
      <c r="A21" t="s">
        <v>80</v>
      </c>
      <c r="B21" t="s">
        <v>136</v>
      </c>
      <c r="C21" t="s">
        <v>127</v>
      </c>
      <c r="D21" t="s">
        <v>128</v>
      </c>
      <c r="G21">
        <v>1475</v>
      </c>
      <c r="H21">
        <v>42531</v>
      </c>
      <c r="I21">
        <v>42534</v>
      </c>
    </row>
    <row r="22" spans="1:20" x14ac:dyDescent="0.35">
      <c r="A22" t="s">
        <v>137</v>
      </c>
      <c r="B22" t="s">
        <v>138</v>
      </c>
      <c r="C22" t="s">
        <v>127</v>
      </c>
      <c r="D22" t="s">
        <v>128</v>
      </c>
      <c r="G22">
        <v>71</v>
      </c>
      <c r="H22">
        <v>42573</v>
      </c>
      <c r="I22">
        <v>42576</v>
      </c>
      <c r="J22">
        <v>42632</v>
      </c>
      <c r="K22" t="s">
        <v>139</v>
      </c>
    </row>
    <row r="23" spans="1:20" x14ac:dyDescent="0.35">
      <c r="A23" t="s">
        <v>30</v>
      </c>
      <c r="B23" t="s">
        <v>138</v>
      </c>
      <c r="C23" t="s">
        <v>127</v>
      </c>
      <c r="D23" t="s">
        <v>128</v>
      </c>
      <c r="F23">
        <f>G23*2</f>
        <v>620</v>
      </c>
      <c r="G23">
        <v>310</v>
      </c>
      <c r="H23">
        <v>42573</v>
      </c>
      <c r="I23">
        <v>42576</v>
      </c>
      <c r="J23">
        <v>42632</v>
      </c>
      <c r="K23" t="s">
        <v>139</v>
      </c>
      <c r="L23">
        <v>42948</v>
      </c>
      <c r="M23" t="s">
        <v>140</v>
      </c>
      <c r="N23">
        <v>43190</v>
      </c>
      <c r="O23">
        <v>1154</v>
      </c>
      <c r="P23">
        <v>43205</v>
      </c>
      <c r="Q23">
        <v>43205</v>
      </c>
      <c r="R23">
        <v>11026</v>
      </c>
      <c r="S23">
        <v>51708293</v>
      </c>
      <c r="T23">
        <v>43278</v>
      </c>
    </row>
    <row r="24" spans="1:20" x14ac:dyDescent="0.35">
      <c r="A24" t="s">
        <v>78</v>
      </c>
      <c r="B24" t="s">
        <v>141</v>
      </c>
      <c r="C24" t="s">
        <v>127</v>
      </c>
      <c r="D24" t="s">
        <v>128</v>
      </c>
      <c r="F24">
        <f>G24*2</f>
        <v>216</v>
      </c>
      <c r="G24">
        <v>108</v>
      </c>
      <c r="H24">
        <v>42573</v>
      </c>
      <c r="I24">
        <v>42576</v>
      </c>
      <c r="J24">
        <v>42632</v>
      </c>
      <c r="K24" t="s">
        <v>139</v>
      </c>
      <c r="L24">
        <v>42775</v>
      </c>
    </row>
    <row r="25" spans="1:20" x14ac:dyDescent="0.35">
      <c r="A25" t="s">
        <v>78</v>
      </c>
      <c r="B25" t="s">
        <v>142</v>
      </c>
      <c r="C25" t="s">
        <v>127</v>
      </c>
      <c r="D25" t="s">
        <v>128</v>
      </c>
      <c r="F25">
        <f>G25*2</f>
        <v>306</v>
      </c>
      <c r="G25">
        <v>153</v>
      </c>
      <c r="H25">
        <v>42573</v>
      </c>
      <c r="I25">
        <v>42576</v>
      </c>
      <c r="J25">
        <v>42646</v>
      </c>
      <c r="K25" t="s">
        <v>143</v>
      </c>
      <c r="L25">
        <v>42775</v>
      </c>
    </row>
    <row r="26" spans="1:20" x14ac:dyDescent="0.35">
      <c r="A26" t="s">
        <v>120</v>
      </c>
      <c r="B26" t="s">
        <v>141</v>
      </c>
      <c r="C26" t="s">
        <v>127</v>
      </c>
      <c r="D26" t="s">
        <v>128</v>
      </c>
      <c r="G26">
        <v>1955</v>
      </c>
      <c r="H26">
        <v>42573</v>
      </c>
      <c r="I26">
        <v>42576</v>
      </c>
      <c r="J26">
        <v>42632</v>
      </c>
      <c r="K26" t="s">
        <v>139</v>
      </c>
      <c r="L26">
        <v>42948</v>
      </c>
      <c r="M26" t="s">
        <v>144</v>
      </c>
      <c r="N26">
        <v>42950</v>
      </c>
      <c r="O26">
        <v>16317</v>
      </c>
      <c r="P26">
        <v>42968</v>
      </c>
      <c r="Q26">
        <v>42969</v>
      </c>
    </row>
    <row r="27" spans="1:20" x14ac:dyDescent="0.35">
      <c r="A27" t="s">
        <v>120</v>
      </c>
      <c r="B27" t="s">
        <v>142</v>
      </c>
      <c r="C27" t="s">
        <v>127</v>
      </c>
      <c r="D27" t="s">
        <v>128</v>
      </c>
      <c r="G27">
        <v>2052</v>
      </c>
      <c r="H27">
        <v>42573</v>
      </c>
      <c r="I27">
        <v>42576</v>
      </c>
      <c r="J27">
        <v>42646</v>
      </c>
      <c r="K27" t="s">
        <v>143</v>
      </c>
      <c r="L27">
        <v>42948</v>
      </c>
      <c r="M27" t="s">
        <v>144</v>
      </c>
      <c r="N27">
        <v>42950</v>
      </c>
      <c r="O27">
        <v>16317</v>
      </c>
      <c r="P27">
        <v>42968</v>
      </c>
      <c r="Q27">
        <v>42969</v>
      </c>
    </row>
    <row r="28" spans="1:20" x14ac:dyDescent="0.35">
      <c r="A28" t="s">
        <v>145</v>
      </c>
      <c r="B28" t="s">
        <v>138</v>
      </c>
      <c r="C28" t="s">
        <v>127</v>
      </c>
      <c r="D28" t="s">
        <v>128</v>
      </c>
      <c r="G28">
        <v>4331</v>
      </c>
      <c r="H28">
        <v>42573</v>
      </c>
      <c r="I28">
        <v>42576</v>
      </c>
    </row>
    <row r="29" spans="1:20" x14ac:dyDescent="0.35">
      <c r="A29" t="s">
        <v>134</v>
      </c>
      <c r="B29" t="s">
        <v>141</v>
      </c>
      <c r="C29" t="s">
        <v>127</v>
      </c>
      <c r="D29" t="s">
        <v>128</v>
      </c>
      <c r="F29">
        <f>G29*2</f>
        <v>458</v>
      </c>
      <c r="G29">
        <v>229</v>
      </c>
      <c r="H29">
        <v>42573</v>
      </c>
      <c r="I29">
        <v>42576</v>
      </c>
      <c r="J29">
        <v>42632</v>
      </c>
      <c r="K29" t="s">
        <v>139</v>
      </c>
      <c r="L29">
        <v>42775</v>
      </c>
    </row>
    <row r="30" spans="1:20" x14ac:dyDescent="0.35">
      <c r="A30" t="s">
        <v>134</v>
      </c>
      <c r="B30" t="s">
        <v>142</v>
      </c>
      <c r="C30" t="s">
        <v>127</v>
      </c>
      <c r="D30" t="s">
        <v>128</v>
      </c>
      <c r="F30">
        <f>G30*2</f>
        <v>214</v>
      </c>
      <c r="G30">
        <v>107</v>
      </c>
      <c r="H30">
        <v>42573</v>
      </c>
      <c r="I30">
        <v>42576</v>
      </c>
      <c r="J30">
        <v>42646</v>
      </c>
      <c r="K30" t="s">
        <v>143</v>
      </c>
      <c r="L30">
        <v>42775</v>
      </c>
    </row>
    <row r="31" spans="1:20" x14ac:dyDescent="0.35">
      <c r="A31" t="s">
        <v>30</v>
      </c>
      <c r="B31" t="s">
        <v>146</v>
      </c>
      <c r="C31" t="s">
        <v>127</v>
      </c>
      <c r="D31" t="s">
        <v>128</v>
      </c>
      <c r="F31">
        <f>G31*2</f>
        <v>54</v>
      </c>
      <c r="G31">
        <v>27</v>
      </c>
      <c r="H31">
        <v>42725</v>
      </c>
      <c r="I31">
        <v>42726</v>
      </c>
      <c r="J31">
        <v>42775</v>
      </c>
      <c r="K31" t="s">
        <v>147</v>
      </c>
      <c r="L31">
        <v>42948</v>
      </c>
      <c r="M31" t="s">
        <v>140</v>
      </c>
      <c r="N31">
        <v>43190</v>
      </c>
      <c r="O31">
        <v>1154</v>
      </c>
      <c r="P31">
        <v>43205</v>
      </c>
      <c r="Q31">
        <v>43205</v>
      </c>
      <c r="R31">
        <v>11026</v>
      </c>
      <c r="S31">
        <v>51708293</v>
      </c>
      <c r="T31">
        <v>43278</v>
      </c>
    </row>
    <row r="32" spans="1:20" x14ac:dyDescent="0.35">
      <c r="A32" t="s">
        <v>120</v>
      </c>
      <c r="B32" t="s">
        <v>146</v>
      </c>
      <c r="C32" t="s">
        <v>127</v>
      </c>
      <c r="D32" t="s">
        <v>128</v>
      </c>
      <c r="G32">
        <v>1415</v>
      </c>
      <c r="H32">
        <v>42725</v>
      </c>
      <c r="I32">
        <v>42726</v>
      </c>
      <c r="J32">
        <v>42775</v>
      </c>
      <c r="K32" t="s">
        <v>147</v>
      </c>
      <c r="L32">
        <v>42948</v>
      </c>
      <c r="M32" t="s">
        <v>144</v>
      </c>
      <c r="N32">
        <v>42950</v>
      </c>
      <c r="O32">
        <v>16317</v>
      </c>
      <c r="P32">
        <v>42968</v>
      </c>
      <c r="Q32">
        <v>42969</v>
      </c>
    </row>
    <row r="33" spans="1:20" x14ac:dyDescent="0.35">
      <c r="A33" t="s">
        <v>145</v>
      </c>
      <c r="B33" t="s">
        <v>146</v>
      </c>
      <c r="C33" t="s">
        <v>127</v>
      </c>
      <c r="D33" t="s">
        <v>128</v>
      </c>
      <c r="G33">
        <v>814</v>
      </c>
      <c r="H33">
        <v>42725</v>
      </c>
      <c r="I33">
        <v>42726</v>
      </c>
    </row>
    <row r="34" spans="1:20" x14ac:dyDescent="0.35">
      <c r="A34" t="s">
        <v>82</v>
      </c>
      <c r="B34" t="s">
        <v>146</v>
      </c>
      <c r="C34" t="s">
        <v>127</v>
      </c>
      <c r="D34" t="s">
        <v>128</v>
      </c>
      <c r="F34">
        <v>7</v>
      </c>
      <c r="G34">
        <v>4</v>
      </c>
      <c r="H34">
        <v>42725</v>
      </c>
      <c r="I34">
        <v>42726</v>
      </c>
      <c r="J34">
        <v>42775</v>
      </c>
      <c r="K34" t="s">
        <v>147</v>
      </c>
      <c r="L34">
        <v>42948</v>
      </c>
    </row>
    <row r="35" spans="1:20" x14ac:dyDescent="0.35">
      <c r="A35" t="s">
        <v>137</v>
      </c>
      <c r="B35" t="s">
        <v>148</v>
      </c>
      <c r="C35" t="s">
        <v>127</v>
      </c>
      <c r="D35" t="s">
        <v>128</v>
      </c>
      <c r="G35">
        <v>52</v>
      </c>
      <c r="H35">
        <v>42788</v>
      </c>
      <c r="I35">
        <v>42776</v>
      </c>
    </row>
    <row r="36" spans="1:20" x14ac:dyDescent="0.35">
      <c r="A36" t="s">
        <v>30</v>
      </c>
      <c r="B36" t="s">
        <v>148</v>
      </c>
      <c r="C36" t="s">
        <v>127</v>
      </c>
      <c r="D36" t="s">
        <v>128</v>
      </c>
      <c r="F36">
        <f>G36*2</f>
        <v>226</v>
      </c>
      <c r="G36">
        <v>113</v>
      </c>
      <c r="H36">
        <v>42788</v>
      </c>
      <c r="I36">
        <v>42776</v>
      </c>
      <c r="J36">
        <v>42838</v>
      </c>
      <c r="K36" t="s">
        <v>149</v>
      </c>
      <c r="L36">
        <v>42948</v>
      </c>
      <c r="M36" t="s">
        <v>140</v>
      </c>
      <c r="N36">
        <v>43190</v>
      </c>
      <c r="O36">
        <v>1154</v>
      </c>
      <c r="P36">
        <v>43205</v>
      </c>
      <c r="Q36">
        <v>43205</v>
      </c>
      <c r="R36">
        <v>11026</v>
      </c>
      <c r="S36">
        <v>51708293</v>
      </c>
      <c r="T36">
        <v>43278</v>
      </c>
    </row>
    <row r="37" spans="1:20" x14ac:dyDescent="0.35">
      <c r="A37" t="s">
        <v>120</v>
      </c>
      <c r="B37" t="s">
        <v>148</v>
      </c>
      <c r="C37" t="s">
        <v>127</v>
      </c>
      <c r="D37" t="s">
        <v>128</v>
      </c>
      <c r="G37">
        <v>1450</v>
      </c>
      <c r="H37">
        <v>42788</v>
      </c>
      <c r="I37">
        <v>42776</v>
      </c>
      <c r="J37">
        <v>42838</v>
      </c>
      <c r="K37" t="s">
        <v>149</v>
      </c>
      <c r="L37">
        <v>42948</v>
      </c>
      <c r="M37" t="s">
        <v>144</v>
      </c>
      <c r="N37">
        <v>42950</v>
      </c>
      <c r="O37">
        <v>16317</v>
      </c>
      <c r="P37">
        <v>42968</v>
      </c>
      <c r="Q37">
        <v>42969</v>
      </c>
    </row>
    <row r="38" spans="1:20" x14ac:dyDescent="0.35">
      <c r="A38" t="s">
        <v>145</v>
      </c>
      <c r="B38" t="s">
        <v>148</v>
      </c>
      <c r="C38" t="s">
        <v>127</v>
      </c>
      <c r="D38" t="s">
        <v>128</v>
      </c>
      <c r="G38">
        <v>1356</v>
      </c>
      <c r="H38">
        <v>42788</v>
      </c>
      <c r="I38">
        <v>42776</v>
      </c>
    </row>
    <row r="39" spans="1:20" x14ac:dyDescent="0.35">
      <c r="A39" t="s">
        <v>82</v>
      </c>
      <c r="B39" t="s">
        <v>148</v>
      </c>
      <c r="C39" t="s">
        <v>127</v>
      </c>
      <c r="D39" t="s">
        <v>128</v>
      </c>
      <c r="F39">
        <f>G39*2</f>
        <v>52</v>
      </c>
      <c r="G39">
        <v>26</v>
      </c>
      <c r="H39">
        <v>42788</v>
      </c>
      <c r="I39">
        <v>42776</v>
      </c>
      <c r="J39">
        <v>42838</v>
      </c>
      <c r="K39" t="s">
        <v>149</v>
      </c>
      <c r="L39">
        <v>42948</v>
      </c>
    </row>
    <row r="40" spans="1:20" x14ac:dyDescent="0.35">
      <c r="A40" t="s">
        <v>150</v>
      </c>
      <c r="B40" t="s">
        <v>148</v>
      </c>
      <c r="C40" t="s">
        <v>127</v>
      </c>
      <c r="D40" t="s">
        <v>128</v>
      </c>
      <c r="F40">
        <v>494</v>
      </c>
      <c r="G40">
        <v>247</v>
      </c>
      <c r="H40">
        <v>42788</v>
      </c>
      <c r="I40">
        <v>42776</v>
      </c>
    </row>
    <row r="41" spans="1:20" x14ac:dyDescent="0.35">
      <c r="A41" t="s">
        <v>134</v>
      </c>
      <c r="B41" t="s">
        <v>148</v>
      </c>
      <c r="C41" t="s">
        <v>127</v>
      </c>
      <c r="D41" t="s">
        <v>128</v>
      </c>
      <c r="F41">
        <f>G41*2</f>
        <v>1142</v>
      </c>
      <c r="G41">
        <v>571</v>
      </c>
      <c r="H41">
        <v>42788</v>
      </c>
      <c r="I41">
        <v>42776</v>
      </c>
      <c r="J41">
        <v>42838</v>
      </c>
      <c r="K41" t="s">
        <v>149</v>
      </c>
    </row>
    <row r="42" spans="1:20" x14ac:dyDescent="0.35">
      <c r="A42" t="s">
        <v>78</v>
      </c>
      <c r="B42" t="s">
        <v>148</v>
      </c>
      <c r="C42" t="s">
        <v>127</v>
      </c>
      <c r="D42" t="s">
        <v>128</v>
      </c>
      <c r="F42">
        <f>G42*2</f>
        <v>364</v>
      </c>
      <c r="G42">
        <v>182</v>
      </c>
      <c r="H42">
        <v>42789</v>
      </c>
      <c r="I42">
        <v>42776</v>
      </c>
      <c r="J42">
        <v>42838</v>
      </c>
      <c r="K42" t="s">
        <v>149</v>
      </c>
      <c r="L42">
        <v>42936</v>
      </c>
    </row>
    <row r="43" spans="1:20" x14ac:dyDescent="0.35">
      <c r="A43" t="s">
        <v>151</v>
      </c>
      <c r="B43" t="s">
        <v>148</v>
      </c>
      <c r="C43" t="s">
        <v>127</v>
      </c>
      <c r="D43" t="s">
        <v>128</v>
      </c>
      <c r="F43">
        <v>229</v>
      </c>
      <c r="G43">
        <v>137.44</v>
      </c>
      <c r="H43">
        <v>42849</v>
      </c>
      <c r="I43">
        <v>42849</v>
      </c>
    </row>
    <row r="44" spans="1:20" x14ac:dyDescent="0.35">
      <c r="A44" t="s">
        <v>152</v>
      </c>
      <c r="B44" t="s">
        <v>148</v>
      </c>
      <c r="C44" t="s">
        <v>127</v>
      </c>
      <c r="D44" t="s">
        <v>128</v>
      </c>
      <c r="F44">
        <v>236</v>
      </c>
      <c r="G44" t="s">
        <v>153</v>
      </c>
      <c r="H44">
        <v>42849</v>
      </c>
      <c r="I44">
        <v>42849</v>
      </c>
    </row>
    <row r="45" spans="1:20" x14ac:dyDescent="0.35">
      <c r="A45" t="s">
        <v>30</v>
      </c>
      <c r="B45" t="s">
        <v>154</v>
      </c>
      <c r="C45" t="s">
        <v>127</v>
      </c>
      <c r="D45" t="s">
        <v>155</v>
      </c>
      <c r="F45">
        <f>G45*2</f>
        <v>376</v>
      </c>
      <c r="G45">
        <v>188</v>
      </c>
      <c r="H45">
        <v>42871</v>
      </c>
      <c r="I45">
        <v>42872</v>
      </c>
      <c r="J45">
        <v>42930</v>
      </c>
      <c r="K45" t="s">
        <v>156</v>
      </c>
      <c r="L45">
        <v>42948</v>
      </c>
      <c r="M45" t="s">
        <v>140</v>
      </c>
      <c r="N45">
        <v>43190</v>
      </c>
      <c r="O45">
        <v>1154</v>
      </c>
      <c r="P45">
        <v>43205</v>
      </c>
      <c r="Q45">
        <v>43205</v>
      </c>
      <c r="R45">
        <v>11026</v>
      </c>
      <c r="S45">
        <v>51708293</v>
      </c>
      <c r="T45">
        <v>43278</v>
      </c>
    </row>
    <row r="46" spans="1:20" x14ac:dyDescent="0.35">
      <c r="A46" t="s">
        <v>120</v>
      </c>
      <c r="B46" t="s">
        <v>154</v>
      </c>
      <c r="C46" t="s">
        <v>127</v>
      </c>
      <c r="D46" t="s">
        <v>155</v>
      </c>
      <c r="G46">
        <v>6956</v>
      </c>
      <c r="H46">
        <v>42871</v>
      </c>
      <c r="I46">
        <v>42872</v>
      </c>
      <c r="J46">
        <v>42930</v>
      </c>
      <c r="K46" t="s">
        <v>156</v>
      </c>
      <c r="L46">
        <v>42948</v>
      </c>
      <c r="M46" t="s">
        <v>144</v>
      </c>
      <c r="N46">
        <v>42950</v>
      </c>
      <c r="O46">
        <v>16317</v>
      </c>
      <c r="P46">
        <v>42968</v>
      </c>
      <c r="Q46">
        <v>42969</v>
      </c>
    </row>
    <row r="47" spans="1:20" x14ac:dyDescent="0.35">
      <c r="A47" t="s">
        <v>82</v>
      </c>
      <c r="B47" t="s">
        <v>154</v>
      </c>
      <c r="C47" t="s">
        <v>127</v>
      </c>
      <c r="D47" t="s">
        <v>155</v>
      </c>
      <c r="F47">
        <v>528</v>
      </c>
      <c r="G47">
        <v>264</v>
      </c>
      <c r="H47">
        <v>42871</v>
      </c>
      <c r="I47">
        <v>42872</v>
      </c>
      <c r="J47">
        <v>42930</v>
      </c>
      <c r="K47" t="s">
        <v>156</v>
      </c>
      <c r="L47">
        <v>42948</v>
      </c>
    </row>
    <row r="48" spans="1:20" x14ac:dyDescent="0.35">
      <c r="A48" t="s">
        <v>157</v>
      </c>
      <c r="B48" t="s">
        <v>154</v>
      </c>
      <c r="C48" t="s">
        <v>127</v>
      </c>
      <c r="D48" t="s">
        <v>155</v>
      </c>
      <c r="F48">
        <v>13751</v>
      </c>
      <c r="G48" t="s">
        <v>153</v>
      </c>
      <c r="H48">
        <v>42879</v>
      </c>
    </row>
    <row r="49" spans="1:20" x14ac:dyDescent="0.35">
      <c r="A49" t="s">
        <v>152</v>
      </c>
      <c r="B49" t="s">
        <v>154</v>
      </c>
      <c r="C49" t="s">
        <v>127</v>
      </c>
      <c r="D49" t="s">
        <v>155</v>
      </c>
      <c r="F49">
        <v>1364</v>
      </c>
      <c r="G49" t="s">
        <v>153</v>
      </c>
      <c r="H49">
        <v>42879</v>
      </c>
    </row>
    <row r="50" spans="1:20" x14ac:dyDescent="0.35">
      <c r="A50" t="s">
        <v>158</v>
      </c>
      <c r="B50" t="s">
        <v>154</v>
      </c>
      <c r="C50" t="s">
        <v>127</v>
      </c>
      <c r="D50" t="s">
        <v>155</v>
      </c>
      <c r="F50">
        <v>1082</v>
      </c>
      <c r="G50" t="s">
        <v>153</v>
      </c>
      <c r="H50">
        <v>42879</v>
      </c>
    </row>
    <row r="51" spans="1:20" x14ac:dyDescent="0.35">
      <c r="A51" t="s">
        <v>159</v>
      </c>
      <c r="B51" t="s">
        <v>154</v>
      </c>
      <c r="C51" t="s">
        <v>127</v>
      </c>
      <c r="D51" t="s">
        <v>155</v>
      </c>
      <c r="F51">
        <v>3550</v>
      </c>
      <c r="G51" t="s">
        <v>153</v>
      </c>
      <c r="H51">
        <v>42879</v>
      </c>
    </row>
    <row r="52" spans="1:20" x14ac:dyDescent="0.35">
      <c r="A52" t="s">
        <v>160</v>
      </c>
      <c r="B52" t="s">
        <v>154</v>
      </c>
      <c r="C52" t="s">
        <v>127</v>
      </c>
      <c r="D52" t="s">
        <v>155</v>
      </c>
      <c r="F52">
        <v>4134</v>
      </c>
      <c r="G52" t="s">
        <v>153</v>
      </c>
      <c r="H52">
        <v>42879</v>
      </c>
    </row>
    <row r="53" spans="1:20" x14ac:dyDescent="0.35">
      <c r="A53" t="s">
        <v>161</v>
      </c>
      <c r="B53" t="s">
        <v>154</v>
      </c>
      <c r="C53" t="s">
        <v>127</v>
      </c>
      <c r="D53" t="s">
        <v>155</v>
      </c>
      <c r="F53">
        <v>1387</v>
      </c>
      <c r="G53" t="s">
        <v>153</v>
      </c>
      <c r="H53">
        <v>42879</v>
      </c>
    </row>
    <row r="54" spans="1:20" x14ac:dyDescent="0.35">
      <c r="A54" t="s">
        <v>145</v>
      </c>
      <c r="B54" t="s">
        <v>154</v>
      </c>
      <c r="C54" t="s">
        <v>127</v>
      </c>
      <c r="D54" t="s">
        <v>155</v>
      </c>
      <c r="G54">
        <v>50253</v>
      </c>
      <c r="H54">
        <v>42879</v>
      </c>
    </row>
    <row r="55" spans="1:20" x14ac:dyDescent="0.35">
      <c r="A55" t="s">
        <v>150</v>
      </c>
      <c r="B55" t="s">
        <v>154</v>
      </c>
      <c r="C55" t="s">
        <v>127</v>
      </c>
      <c r="D55" t="s">
        <v>155</v>
      </c>
      <c r="F55">
        <v>16300</v>
      </c>
      <c r="G55">
        <v>8150</v>
      </c>
      <c r="H55">
        <v>42898</v>
      </c>
      <c r="I55">
        <v>42898</v>
      </c>
    </row>
    <row r="56" spans="1:20" x14ac:dyDescent="0.35">
      <c r="A56" t="s">
        <v>162</v>
      </c>
      <c r="B56" t="s">
        <v>154</v>
      </c>
      <c r="C56" t="s">
        <v>127</v>
      </c>
      <c r="D56" t="s">
        <v>155</v>
      </c>
      <c r="F56">
        <v>2296.67</v>
      </c>
      <c r="G56">
        <v>1378</v>
      </c>
      <c r="H56">
        <v>42879</v>
      </c>
      <c r="I56">
        <v>42884</v>
      </c>
      <c r="J56">
        <v>42930</v>
      </c>
      <c r="K56" t="s">
        <v>156</v>
      </c>
      <c r="L56">
        <v>42936</v>
      </c>
      <c r="M56">
        <v>1</v>
      </c>
      <c r="N56">
        <v>42916</v>
      </c>
      <c r="O56">
        <v>2729</v>
      </c>
      <c r="P56">
        <v>43343</v>
      </c>
      <c r="Q56">
        <v>43343</v>
      </c>
      <c r="R56">
        <v>2729</v>
      </c>
      <c r="S56">
        <v>51705854</v>
      </c>
      <c r="T56">
        <v>42997</v>
      </c>
    </row>
    <row r="57" spans="1:20" x14ac:dyDescent="0.35">
      <c r="A57" t="s">
        <v>134</v>
      </c>
      <c r="B57" t="s">
        <v>154</v>
      </c>
      <c r="C57" t="s">
        <v>127</v>
      </c>
      <c r="D57" t="s">
        <v>155</v>
      </c>
      <c r="F57">
        <f>G57*2</f>
        <v>494</v>
      </c>
      <c r="G57">
        <v>247</v>
      </c>
      <c r="H57">
        <v>42871</v>
      </c>
      <c r="I57">
        <v>42937</v>
      </c>
    </row>
    <row r="58" spans="1:20" x14ac:dyDescent="0.35">
      <c r="A58" t="s">
        <v>30</v>
      </c>
      <c r="B58" t="s">
        <v>163</v>
      </c>
      <c r="C58" t="s">
        <v>127</v>
      </c>
      <c r="D58" t="s">
        <v>128</v>
      </c>
      <c r="F58">
        <f>G58*2</f>
        <v>50</v>
      </c>
      <c r="G58">
        <v>25</v>
      </c>
      <c r="H58">
        <v>42895</v>
      </c>
      <c r="I58">
        <v>42895</v>
      </c>
      <c r="J58">
        <v>42930</v>
      </c>
      <c r="K58" t="s">
        <v>156</v>
      </c>
      <c r="L58">
        <v>42948</v>
      </c>
      <c r="M58" t="s">
        <v>140</v>
      </c>
      <c r="N58">
        <v>43190</v>
      </c>
      <c r="O58">
        <v>1154</v>
      </c>
      <c r="P58">
        <v>43205</v>
      </c>
      <c r="Q58">
        <v>43205</v>
      </c>
      <c r="R58">
        <v>11026</v>
      </c>
      <c r="S58">
        <v>51708293</v>
      </c>
      <c r="T58">
        <v>43278</v>
      </c>
    </row>
    <row r="59" spans="1:20" x14ac:dyDescent="0.35">
      <c r="A59" t="s">
        <v>78</v>
      </c>
      <c r="B59" t="s">
        <v>163</v>
      </c>
      <c r="C59" t="s">
        <v>127</v>
      </c>
      <c r="D59" t="s">
        <v>128</v>
      </c>
      <c r="F59">
        <f>G59*2</f>
        <v>176</v>
      </c>
      <c r="G59">
        <v>88</v>
      </c>
      <c r="H59">
        <v>42895</v>
      </c>
      <c r="I59">
        <v>42895</v>
      </c>
      <c r="J59">
        <v>42930</v>
      </c>
      <c r="K59" t="s">
        <v>156</v>
      </c>
      <c r="L59">
        <v>42936</v>
      </c>
    </row>
    <row r="60" spans="1:20" x14ac:dyDescent="0.35">
      <c r="A60" t="s">
        <v>82</v>
      </c>
      <c r="B60" t="s">
        <v>163</v>
      </c>
      <c r="C60" t="s">
        <v>127</v>
      </c>
      <c r="D60" t="s">
        <v>128</v>
      </c>
      <c r="F60">
        <v>109</v>
      </c>
      <c r="G60">
        <v>55</v>
      </c>
      <c r="H60">
        <v>42895</v>
      </c>
      <c r="I60">
        <v>42895</v>
      </c>
      <c r="J60">
        <v>42930</v>
      </c>
      <c r="K60" t="s">
        <v>156</v>
      </c>
      <c r="L60">
        <v>42948</v>
      </c>
    </row>
    <row r="61" spans="1:20" x14ac:dyDescent="0.35">
      <c r="A61" t="s">
        <v>157</v>
      </c>
      <c r="B61" t="s">
        <v>164</v>
      </c>
      <c r="C61" t="s">
        <v>127</v>
      </c>
      <c r="D61" t="s">
        <v>155</v>
      </c>
      <c r="F61">
        <v>2168</v>
      </c>
      <c r="G61" t="s">
        <v>153</v>
      </c>
      <c r="H61">
        <v>42908</v>
      </c>
    </row>
    <row r="62" spans="1:20" x14ac:dyDescent="0.35">
      <c r="A62" t="s">
        <v>152</v>
      </c>
      <c r="B62" t="s">
        <v>164</v>
      </c>
      <c r="C62" t="s">
        <v>127</v>
      </c>
      <c r="D62" t="s">
        <v>155</v>
      </c>
      <c r="F62">
        <v>5999</v>
      </c>
      <c r="G62" t="s">
        <v>153</v>
      </c>
      <c r="H62">
        <v>42902</v>
      </c>
    </row>
    <row r="63" spans="1:20" x14ac:dyDescent="0.35">
      <c r="A63" t="s">
        <v>159</v>
      </c>
      <c r="B63" t="s">
        <v>164</v>
      </c>
      <c r="C63" t="s">
        <v>127</v>
      </c>
      <c r="D63" t="s">
        <v>155</v>
      </c>
      <c r="F63">
        <v>462</v>
      </c>
      <c r="G63" t="s">
        <v>153</v>
      </c>
      <c r="H63">
        <v>42902</v>
      </c>
    </row>
    <row r="64" spans="1:20" x14ac:dyDescent="0.35">
      <c r="A64" t="s">
        <v>160</v>
      </c>
      <c r="B64" t="s">
        <v>164</v>
      </c>
      <c r="C64" t="s">
        <v>127</v>
      </c>
      <c r="D64" t="s">
        <v>155</v>
      </c>
      <c r="F64">
        <v>1529</v>
      </c>
      <c r="G64" t="s">
        <v>153</v>
      </c>
      <c r="H64">
        <v>42902</v>
      </c>
    </row>
    <row r="65" spans="1:20" x14ac:dyDescent="0.35">
      <c r="A65" t="s">
        <v>145</v>
      </c>
      <c r="B65" t="s">
        <v>164</v>
      </c>
      <c r="C65" t="s">
        <v>127</v>
      </c>
      <c r="D65" t="s">
        <v>155</v>
      </c>
      <c r="G65">
        <v>541</v>
      </c>
      <c r="H65">
        <v>42902</v>
      </c>
    </row>
    <row r="66" spans="1:20" x14ac:dyDescent="0.35">
      <c r="A66" t="s">
        <v>137</v>
      </c>
      <c r="B66" t="s">
        <v>164</v>
      </c>
      <c r="C66" t="s">
        <v>127</v>
      </c>
      <c r="D66" t="s">
        <v>155</v>
      </c>
      <c r="G66">
        <v>231</v>
      </c>
      <c r="H66">
        <v>42902</v>
      </c>
      <c r="I66">
        <v>42902</v>
      </c>
    </row>
    <row r="67" spans="1:20" x14ac:dyDescent="0.35">
      <c r="A67" t="s">
        <v>30</v>
      </c>
      <c r="B67" t="s">
        <v>164</v>
      </c>
      <c r="C67" t="s">
        <v>127</v>
      </c>
      <c r="D67" t="s">
        <v>155</v>
      </c>
      <c r="F67">
        <f>G67*2</f>
        <v>630</v>
      </c>
      <c r="G67">
        <v>315</v>
      </c>
      <c r="H67">
        <v>42902</v>
      </c>
      <c r="I67">
        <v>42902</v>
      </c>
      <c r="J67">
        <v>42930</v>
      </c>
      <c r="K67" t="s">
        <v>156</v>
      </c>
      <c r="L67">
        <v>42948</v>
      </c>
      <c r="M67" t="s">
        <v>140</v>
      </c>
      <c r="N67">
        <v>43190</v>
      </c>
      <c r="O67">
        <v>1154</v>
      </c>
      <c r="P67">
        <v>43205</v>
      </c>
      <c r="Q67">
        <v>43205</v>
      </c>
      <c r="R67">
        <v>11026</v>
      </c>
      <c r="S67">
        <v>51708293</v>
      </c>
      <c r="T67">
        <v>43278</v>
      </c>
    </row>
    <row r="68" spans="1:20" x14ac:dyDescent="0.35">
      <c r="A68" t="s">
        <v>120</v>
      </c>
      <c r="B68" t="s">
        <v>164</v>
      </c>
      <c r="C68" t="s">
        <v>127</v>
      </c>
      <c r="D68" t="s">
        <v>155</v>
      </c>
      <c r="F68">
        <v>93</v>
      </c>
      <c r="G68">
        <v>93</v>
      </c>
      <c r="H68">
        <v>42902</v>
      </c>
      <c r="I68">
        <v>42902</v>
      </c>
      <c r="J68" t="s">
        <v>165</v>
      </c>
    </row>
    <row r="69" spans="1:20" x14ac:dyDescent="0.35">
      <c r="A69" t="s">
        <v>162</v>
      </c>
      <c r="B69" t="s">
        <v>164</v>
      </c>
      <c r="C69" t="s">
        <v>127</v>
      </c>
      <c r="D69" t="s">
        <v>155</v>
      </c>
      <c r="F69">
        <v>2253</v>
      </c>
      <c r="G69">
        <v>1352</v>
      </c>
      <c r="H69">
        <v>42902</v>
      </c>
      <c r="I69">
        <v>42902</v>
      </c>
      <c r="J69">
        <v>42930</v>
      </c>
      <c r="K69" t="s">
        <v>156</v>
      </c>
      <c r="L69">
        <v>42936</v>
      </c>
      <c r="M69">
        <v>1</v>
      </c>
      <c r="N69">
        <v>42916</v>
      </c>
      <c r="O69">
        <v>2729</v>
      </c>
      <c r="P69">
        <v>43343</v>
      </c>
      <c r="Q69">
        <v>43343</v>
      </c>
      <c r="R69">
        <v>2729</v>
      </c>
      <c r="S69">
        <v>51705854</v>
      </c>
      <c r="T69">
        <v>42997</v>
      </c>
    </row>
    <row r="70" spans="1:20" x14ac:dyDescent="0.35">
      <c r="A70" t="s">
        <v>82</v>
      </c>
      <c r="B70" t="s">
        <v>164</v>
      </c>
      <c r="C70" t="s">
        <v>127</v>
      </c>
      <c r="D70" t="s">
        <v>155</v>
      </c>
      <c r="F70">
        <v>224</v>
      </c>
      <c r="G70">
        <v>112</v>
      </c>
      <c r="H70">
        <v>42902</v>
      </c>
      <c r="I70">
        <v>42902</v>
      </c>
      <c r="J70">
        <v>42930</v>
      </c>
      <c r="K70" t="s">
        <v>156</v>
      </c>
      <c r="L70">
        <v>42948</v>
      </c>
    </row>
    <row r="71" spans="1:20" x14ac:dyDescent="0.35">
      <c r="A71" t="s">
        <v>151</v>
      </c>
      <c r="B71" t="s">
        <v>164</v>
      </c>
      <c r="C71" t="s">
        <v>127</v>
      </c>
      <c r="D71" t="s">
        <v>155</v>
      </c>
      <c r="F71">
        <v>21430</v>
      </c>
      <c r="G71">
        <v>12858</v>
      </c>
      <c r="H71">
        <v>42902</v>
      </c>
      <c r="I71">
        <v>42902</v>
      </c>
    </row>
    <row r="72" spans="1:20" x14ac:dyDescent="0.35">
      <c r="A72" t="s">
        <v>150</v>
      </c>
      <c r="B72" t="s">
        <v>164</v>
      </c>
      <c r="C72" t="s">
        <v>127</v>
      </c>
      <c r="D72" t="s">
        <v>155</v>
      </c>
      <c r="F72">
        <v>8139</v>
      </c>
      <c r="G72">
        <v>4070</v>
      </c>
      <c r="H72">
        <v>42902</v>
      </c>
      <c r="I72">
        <v>42902</v>
      </c>
    </row>
    <row r="73" spans="1:20" x14ac:dyDescent="0.35">
      <c r="A73" t="s">
        <v>134</v>
      </c>
      <c r="B73" t="s">
        <v>164</v>
      </c>
      <c r="C73" t="s">
        <v>127</v>
      </c>
      <c r="D73" t="s">
        <v>155</v>
      </c>
      <c r="F73">
        <f>G73*2</f>
        <v>112</v>
      </c>
      <c r="G73">
        <v>56</v>
      </c>
      <c r="H73">
        <v>42902</v>
      </c>
      <c r="I73">
        <v>42902</v>
      </c>
    </row>
    <row r="74" spans="1:20" x14ac:dyDescent="0.35">
      <c r="A74" t="s">
        <v>137</v>
      </c>
      <c r="B74" t="s">
        <v>166</v>
      </c>
      <c r="C74" t="s">
        <v>127</v>
      </c>
      <c r="D74" t="s">
        <v>128</v>
      </c>
      <c r="G74">
        <v>82</v>
      </c>
      <c r="H74">
        <v>42996</v>
      </c>
      <c r="I74">
        <v>42999</v>
      </c>
    </row>
    <row r="75" spans="1:20" x14ac:dyDescent="0.35">
      <c r="A75" t="s">
        <v>30</v>
      </c>
      <c r="B75" t="s">
        <v>166</v>
      </c>
      <c r="C75" t="s">
        <v>127</v>
      </c>
      <c r="D75" t="s">
        <v>128</v>
      </c>
      <c r="F75">
        <f>G75*2</f>
        <v>82</v>
      </c>
      <c r="G75">
        <v>41</v>
      </c>
      <c r="H75">
        <v>42996</v>
      </c>
      <c r="I75">
        <v>42999</v>
      </c>
      <c r="J75">
        <v>43188</v>
      </c>
      <c r="K75" t="s">
        <v>167</v>
      </c>
      <c r="L75">
        <v>43195</v>
      </c>
      <c r="M75" t="s">
        <v>168</v>
      </c>
      <c r="N75">
        <v>43190</v>
      </c>
      <c r="O75">
        <v>9872</v>
      </c>
      <c r="P75">
        <v>43205</v>
      </c>
      <c r="Q75">
        <v>43205</v>
      </c>
      <c r="R75">
        <v>11026</v>
      </c>
      <c r="S75">
        <v>51708293</v>
      </c>
      <c r="T75">
        <v>43278</v>
      </c>
    </row>
    <row r="76" spans="1:20" x14ac:dyDescent="0.35">
      <c r="A76" t="s">
        <v>78</v>
      </c>
      <c r="B76" t="s">
        <v>169</v>
      </c>
      <c r="C76" t="s">
        <v>127</v>
      </c>
      <c r="D76" t="s">
        <v>128</v>
      </c>
      <c r="F76">
        <f>G76*2</f>
        <v>490</v>
      </c>
      <c r="G76">
        <v>245</v>
      </c>
      <c r="H76">
        <v>42996</v>
      </c>
      <c r="I76">
        <v>42999</v>
      </c>
      <c r="J76">
        <v>43188</v>
      </c>
      <c r="K76" t="s">
        <v>167</v>
      </c>
    </row>
    <row r="77" spans="1:20" x14ac:dyDescent="0.35">
      <c r="A77" t="s">
        <v>120</v>
      </c>
      <c r="B77" t="s">
        <v>166</v>
      </c>
      <c r="C77" t="s">
        <v>127</v>
      </c>
      <c r="D77" t="s">
        <v>128</v>
      </c>
      <c r="F77">
        <v>582</v>
      </c>
      <c r="G77" t="s">
        <v>153</v>
      </c>
      <c r="H77">
        <v>42996</v>
      </c>
      <c r="I77">
        <v>42999</v>
      </c>
    </row>
    <row r="78" spans="1:20" x14ac:dyDescent="0.35">
      <c r="A78" t="s">
        <v>151</v>
      </c>
      <c r="B78" t="s">
        <v>166</v>
      </c>
      <c r="C78" t="s">
        <v>127</v>
      </c>
      <c r="D78" t="s">
        <v>128</v>
      </c>
      <c r="F78">
        <v>1637.3760000000002</v>
      </c>
      <c r="G78">
        <v>982.42560000000003</v>
      </c>
      <c r="H78">
        <v>42996</v>
      </c>
      <c r="I78">
        <v>42999</v>
      </c>
    </row>
    <row r="79" spans="1:20" x14ac:dyDescent="0.35">
      <c r="A79" t="s">
        <v>150</v>
      </c>
      <c r="B79" t="s">
        <v>166</v>
      </c>
      <c r="C79" t="s">
        <v>127</v>
      </c>
      <c r="D79" t="s">
        <v>128</v>
      </c>
      <c r="F79">
        <v>245</v>
      </c>
      <c r="G79">
        <v>123</v>
      </c>
      <c r="H79">
        <v>42996</v>
      </c>
      <c r="I79">
        <v>42999</v>
      </c>
    </row>
    <row r="80" spans="1:20" x14ac:dyDescent="0.35">
      <c r="A80" t="s">
        <v>170</v>
      </c>
      <c r="B80" t="s">
        <v>166</v>
      </c>
      <c r="C80" t="s">
        <v>127</v>
      </c>
      <c r="D80" t="s">
        <v>128</v>
      </c>
      <c r="F80">
        <f>G80*2</f>
        <v>790</v>
      </c>
      <c r="G80">
        <v>395</v>
      </c>
      <c r="H80">
        <v>42996</v>
      </c>
      <c r="I80">
        <v>42999</v>
      </c>
    </row>
    <row r="81" spans="1:20" x14ac:dyDescent="0.35">
      <c r="A81" t="s">
        <v>157</v>
      </c>
      <c r="B81" t="s">
        <v>166</v>
      </c>
      <c r="C81" t="s">
        <v>122</v>
      </c>
      <c r="D81" t="s">
        <v>123</v>
      </c>
      <c r="F81">
        <v>106</v>
      </c>
      <c r="G81" t="s">
        <v>153</v>
      </c>
      <c r="H81">
        <v>43052</v>
      </c>
      <c r="I81">
        <v>43098</v>
      </c>
    </row>
    <row r="82" spans="1:20" x14ac:dyDescent="0.35">
      <c r="A82" t="s">
        <v>160</v>
      </c>
      <c r="B82" t="s">
        <v>166</v>
      </c>
      <c r="C82" t="s">
        <v>122</v>
      </c>
      <c r="D82" t="s">
        <v>123</v>
      </c>
      <c r="F82">
        <v>7</v>
      </c>
      <c r="G82" t="s">
        <v>153</v>
      </c>
      <c r="H82">
        <v>43052</v>
      </c>
      <c r="I82">
        <v>43098</v>
      </c>
    </row>
    <row r="83" spans="1:20" x14ac:dyDescent="0.35">
      <c r="A83" t="s">
        <v>120</v>
      </c>
      <c r="B83" t="s">
        <v>166</v>
      </c>
      <c r="C83" t="s">
        <v>122</v>
      </c>
      <c r="D83" t="s">
        <v>123</v>
      </c>
      <c r="F83">
        <v>10</v>
      </c>
      <c r="G83" t="s">
        <v>153</v>
      </c>
      <c r="H83">
        <v>43052</v>
      </c>
      <c r="I83">
        <v>43098</v>
      </c>
      <c r="J83">
        <v>43118</v>
      </c>
      <c r="K83" t="s">
        <v>171</v>
      </c>
    </row>
    <row r="84" spans="1:20" x14ac:dyDescent="0.35">
      <c r="A84" t="s">
        <v>151</v>
      </c>
      <c r="B84" t="s">
        <v>166</v>
      </c>
      <c r="C84" t="s">
        <v>122</v>
      </c>
      <c r="D84" t="s">
        <v>123</v>
      </c>
      <c r="F84">
        <v>369</v>
      </c>
      <c r="G84">
        <v>221.29</v>
      </c>
      <c r="H84">
        <v>43052</v>
      </c>
      <c r="I84">
        <v>43098</v>
      </c>
    </row>
    <row r="85" spans="1:20" x14ac:dyDescent="0.35">
      <c r="A85" t="s">
        <v>150</v>
      </c>
      <c r="B85" t="s">
        <v>166</v>
      </c>
      <c r="C85" t="s">
        <v>122</v>
      </c>
      <c r="D85" t="s">
        <v>123</v>
      </c>
      <c r="F85">
        <v>698</v>
      </c>
      <c r="G85">
        <v>349</v>
      </c>
      <c r="H85">
        <v>43052</v>
      </c>
      <c r="I85">
        <v>43098</v>
      </c>
    </row>
    <row r="86" spans="1:20" x14ac:dyDescent="0.35">
      <c r="A86" t="s">
        <v>151</v>
      </c>
      <c r="B86" t="s">
        <v>172</v>
      </c>
      <c r="C86" t="s">
        <v>173</v>
      </c>
      <c r="D86" t="s">
        <v>123</v>
      </c>
      <c r="G86">
        <v>487</v>
      </c>
      <c r="H86">
        <v>43053</v>
      </c>
      <c r="I86">
        <v>43098</v>
      </c>
    </row>
    <row r="87" spans="1:20" x14ac:dyDescent="0.35">
      <c r="A87" t="s">
        <v>152</v>
      </c>
      <c r="B87" t="s">
        <v>174</v>
      </c>
      <c r="C87" t="s">
        <v>127</v>
      </c>
      <c r="D87" t="s">
        <v>128</v>
      </c>
      <c r="F87">
        <v>333</v>
      </c>
      <c r="G87" t="s">
        <v>153</v>
      </c>
      <c r="H87">
        <v>43090</v>
      </c>
      <c r="I87">
        <v>43098</v>
      </c>
    </row>
    <row r="88" spans="1:20" x14ac:dyDescent="0.35">
      <c r="A88" t="s">
        <v>30</v>
      </c>
      <c r="B88" t="s">
        <v>174</v>
      </c>
      <c r="C88" t="s">
        <v>127</v>
      </c>
      <c r="D88" t="s">
        <v>128</v>
      </c>
      <c r="F88">
        <f>G88*2</f>
        <v>74</v>
      </c>
      <c r="G88">
        <v>37</v>
      </c>
      <c r="H88">
        <v>43090</v>
      </c>
      <c r="I88">
        <v>43098</v>
      </c>
      <c r="J88">
        <v>43118</v>
      </c>
      <c r="K88" t="s">
        <v>171</v>
      </c>
      <c r="L88">
        <v>43195</v>
      </c>
      <c r="M88" t="s">
        <v>168</v>
      </c>
      <c r="N88">
        <v>43190</v>
      </c>
      <c r="O88">
        <v>9872</v>
      </c>
      <c r="P88">
        <v>43205</v>
      </c>
      <c r="Q88">
        <v>43205</v>
      </c>
      <c r="R88">
        <v>11026</v>
      </c>
      <c r="S88">
        <v>51708293</v>
      </c>
      <c r="T88">
        <v>43278</v>
      </c>
    </row>
    <row r="89" spans="1:20" x14ac:dyDescent="0.35">
      <c r="A89" t="s">
        <v>134</v>
      </c>
      <c r="B89" t="s">
        <v>174</v>
      </c>
      <c r="C89" t="s">
        <v>127</v>
      </c>
      <c r="D89" t="s">
        <v>128</v>
      </c>
      <c r="F89">
        <f>G89*2</f>
        <v>206</v>
      </c>
      <c r="G89">
        <v>103</v>
      </c>
      <c r="H89">
        <v>43090</v>
      </c>
      <c r="I89">
        <v>43098</v>
      </c>
    </row>
    <row r="90" spans="1:20" x14ac:dyDescent="0.35">
      <c r="A90" t="s">
        <v>78</v>
      </c>
      <c r="B90" t="s">
        <v>174</v>
      </c>
      <c r="C90" t="s">
        <v>127</v>
      </c>
      <c r="D90" t="s">
        <v>128</v>
      </c>
      <c r="F90">
        <f>G90*2</f>
        <v>156</v>
      </c>
      <c r="G90">
        <v>78</v>
      </c>
      <c r="H90">
        <v>43090</v>
      </c>
      <c r="I90">
        <v>43098</v>
      </c>
      <c r="J90">
        <v>43118</v>
      </c>
      <c r="K90" t="s">
        <v>171</v>
      </c>
    </row>
    <row r="91" spans="1:20" x14ac:dyDescent="0.35">
      <c r="A91" t="s">
        <v>120</v>
      </c>
      <c r="B91" t="s">
        <v>174</v>
      </c>
      <c r="C91" t="s">
        <v>127</v>
      </c>
      <c r="D91" t="s">
        <v>128</v>
      </c>
      <c r="F91">
        <v>151</v>
      </c>
      <c r="G91" t="s">
        <v>153</v>
      </c>
      <c r="H91">
        <v>43090</v>
      </c>
      <c r="I91">
        <v>43098</v>
      </c>
      <c r="J91">
        <v>43118</v>
      </c>
      <c r="K91" t="s">
        <v>171</v>
      </c>
    </row>
    <row r="92" spans="1:20" x14ac:dyDescent="0.35">
      <c r="A92" t="s">
        <v>151</v>
      </c>
      <c r="B92" t="s">
        <v>174</v>
      </c>
      <c r="C92" t="s">
        <v>127</v>
      </c>
      <c r="D92" t="s">
        <v>128</v>
      </c>
      <c r="G92">
        <v>312</v>
      </c>
      <c r="H92">
        <v>43090</v>
      </c>
      <c r="I92">
        <v>43098</v>
      </c>
    </row>
    <row r="93" spans="1:20" x14ac:dyDescent="0.35">
      <c r="A93" t="s">
        <v>150</v>
      </c>
      <c r="B93" t="s">
        <v>174</v>
      </c>
      <c r="C93" t="s">
        <v>127</v>
      </c>
      <c r="D93" t="s">
        <v>128</v>
      </c>
      <c r="F93">
        <v>130</v>
      </c>
      <c r="G93">
        <v>65</v>
      </c>
      <c r="H93">
        <v>43090</v>
      </c>
      <c r="I93">
        <v>43098</v>
      </c>
    </row>
    <row r="94" spans="1:20" x14ac:dyDescent="0.35">
      <c r="A94" t="s">
        <v>151</v>
      </c>
      <c r="B94" t="s">
        <v>172</v>
      </c>
      <c r="C94" t="s">
        <v>175</v>
      </c>
      <c r="D94" t="s">
        <v>123</v>
      </c>
      <c r="G94">
        <v>31</v>
      </c>
      <c r="H94">
        <v>43090</v>
      </c>
      <c r="I94">
        <v>43098</v>
      </c>
    </row>
    <row r="95" spans="1:20" x14ac:dyDescent="0.35">
      <c r="A95" t="s">
        <v>120</v>
      </c>
      <c r="B95" t="s">
        <v>176</v>
      </c>
      <c r="C95" t="s">
        <v>127</v>
      </c>
      <c r="D95" t="s">
        <v>155</v>
      </c>
      <c r="F95">
        <v>0.1</v>
      </c>
      <c r="G95" t="s">
        <v>153</v>
      </c>
      <c r="H95">
        <v>43091</v>
      </c>
      <c r="I95">
        <v>43098</v>
      </c>
      <c r="J95">
        <v>43118</v>
      </c>
      <c r="K95" t="s">
        <v>171</v>
      </c>
    </row>
    <row r="96" spans="1:20" x14ac:dyDescent="0.35">
      <c r="A96" t="s">
        <v>30</v>
      </c>
      <c r="B96" t="s">
        <v>177</v>
      </c>
      <c r="C96" t="s">
        <v>122</v>
      </c>
      <c r="D96" t="s">
        <v>123</v>
      </c>
      <c r="F96">
        <f>G96*2</f>
        <v>26</v>
      </c>
      <c r="G96">
        <v>13</v>
      </c>
      <c r="H96">
        <v>43098</v>
      </c>
      <c r="I96">
        <v>43098</v>
      </c>
      <c r="J96">
        <v>43140</v>
      </c>
      <c r="K96" t="s">
        <v>178</v>
      </c>
      <c r="L96">
        <v>43195</v>
      </c>
      <c r="M96" t="s">
        <v>168</v>
      </c>
      <c r="N96">
        <v>43190</v>
      </c>
      <c r="O96">
        <v>9872</v>
      </c>
      <c r="P96">
        <v>43205</v>
      </c>
      <c r="Q96">
        <v>43205</v>
      </c>
      <c r="R96">
        <v>11026</v>
      </c>
      <c r="S96">
        <v>51708293</v>
      </c>
      <c r="T96">
        <v>43278</v>
      </c>
    </row>
    <row r="97" spans="1:12" x14ac:dyDescent="0.35">
      <c r="A97" t="s">
        <v>160</v>
      </c>
      <c r="B97" t="s">
        <v>177</v>
      </c>
      <c r="C97" t="s">
        <v>122</v>
      </c>
      <c r="D97" t="s">
        <v>123</v>
      </c>
      <c r="F97">
        <v>35.6</v>
      </c>
      <c r="G97" t="s">
        <v>153</v>
      </c>
      <c r="H97">
        <v>43098</v>
      </c>
      <c r="I97">
        <v>43098</v>
      </c>
    </row>
    <row r="98" spans="1:12" x14ac:dyDescent="0.35">
      <c r="A98" t="s">
        <v>82</v>
      </c>
      <c r="B98" t="s">
        <v>177</v>
      </c>
      <c r="C98" t="s">
        <v>122</v>
      </c>
      <c r="D98" t="s">
        <v>123</v>
      </c>
      <c r="F98">
        <f>G98*2</f>
        <v>86</v>
      </c>
      <c r="G98">
        <v>43</v>
      </c>
      <c r="H98">
        <v>43098</v>
      </c>
      <c r="I98">
        <v>43098</v>
      </c>
      <c r="J98">
        <v>43140</v>
      </c>
      <c r="K98" t="s">
        <v>178</v>
      </c>
      <c r="L98">
        <v>43195</v>
      </c>
    </row>
    <row r="99" spans="1:12" x14ac:dyDescent="0.35">
      <c r="A99" t="s">
        <v>151</v>
      </c>
      <c r="B99" t="s">
        <v>177</v>
      </c>
      <c r="C99" t="s">
        <v>122</v>
      </c>
      <c r="D99" t="s">
        <v>123</v>
      </c>
      <c r="G99">
        <v>669.44</v>
      </c>
      <c r="H99">
        <v>43098</v>
      </c>
      <c r="I99">
        <v>43098</v>
      </c>
    </row>
    <row r="100" spans="1:12" x14ac:dyDescent="0.35">
      <c r="A100" t="s">
        <v>157</v>
      </c>
      <c r="B100" t="s">
        <v>177</v>
      </c>
      <c r="C100" t="s">
        <v>173</v>
      </c>
      <c r="D100" t="s">
        <v>123</v>
      </c>
      <c r="F100">
        <v>62</v>
      </c>
      <c r="G100" t="s">
        <v>153</v>
      </c>
      <c r="H100">
        <v>43115</v>
      </c>
      <c r="I100">
        <v>43115</v>
      </c>
    </row>
    <row r="101" spans="1:12" x14ac:dyDescent="0.35">
      <c r="A101" t="s">
        <v>151</v>
      </c>
      <c r="B101" t="s">
        <v>177</v>
      </c>
      <c r="C101" t="s">
        <v>173</v>
      </c>
      <c r="D101" t="s">
        <v>123</v>
      </c>
      <c r="G101">
        <v>47</v>
      </c>
      <c r="H101">
        <v>43115</v>
      </c>
      <c r="I101">
        <v>43115</v>
      </c>
    </row>
    <row r="102" spans="1:12" x14ac:dyDescent="0.35">
      <c r="A102" t="s">
        <v>157</v>
      </c>
      <c r="B102" t="s">
        <v>179</v>
      </c>
      <c r="C102" t="s">
        <v>180</v>
      </c>
      <c r="D102" t="s">
        <v>155</v>
      </c>
      <c r="F102">
        <v>3896</v>
      </c>
      <c r="G102" t="s">
        <v>153</v>
      </c>
      <c r="H102">
        <v>43125</v>
      </c>
      <c r="I102">
        <v>43136</v>
      </c>
    </row>
    <row r="103" spans="1:12" x14ac:dyDescent="0.35">
      <c r="A103" t="s">
        <v>152</v>
      </c>
      <c r="B103" t="s">
        <v>179</v>
      </c>
      <c r="C103" t="s">
        <v>180</v>
      </c>
      <c r="D103" t="s">
        <v>155</v>
      </c>
      <c r="F103">
        <v>25922</v>
      </c>
      <c r="G103" t="s">
        <v>153</v>
      </c>
      <c r="H103">
        <v>43125</v>
      </c>
      <c r="I103">
        <v>43136</v>
      </c>
    </row>
    <row r="104" spans="1:12" x14ac:dyDescent="0.35">
      <c r="A104" t="s">
        <v>158</v>
      </c>
      <c r="B104" t="s">
        <v>179</v>
      </c>
      <c r="C104" t="s">
        <v>180</v>
      </c>
      <c r="D104" t="s">
        <v>155</v>
      </c>
      <c r="F104">
        <v>3401</v>
      </c>
      <c r="G104" t="s">
        <v>153</v>
      </c>
      <c r="H104">
        <v>43125</v>
      </c>
      <c r="I104">
        <v>43136</v>
      </c>
      <c r="J104" t="s">
        <v>181</v>
      </c>
    </row>
    <row r="105" spans="1:12" x14ac:dyDescent="0.35">
      <c r="A105" t="s">
        <v>159</v>
      </c>
      <c r="B105" t="s">
        <v>179</v>
      </c>
      <c r="C105" t="s">
        <v>180</v>
      </c>
      <c r="D105" t="s">
        <v>155</v>
      </c>
      <c r="F105">
        <v>1637</v>
      </c>
      <c r="G105" t="s">
        <v>153</v>
      </c>
      <c r="H105">
        <v>43125</v>
      </c>
      <c r="I105">
        <v>43136</v>
      </c>
    </row>
    <row r="106" spans="1:12" x14ac:dyDescent="0.35">
      <c r="A106" t="s">
        <v>160</v>
      </c>
      <c r="B106" t="s">
        <v>179</v>
      </c>
      <c r="C106" t="s">
        <v>180</v>
      </c>
      <c r="D106" t="s">
        <v>155</v>
      </c>
      <c r="F106">
        <v>3588</v>
      </c>
      <c r="G106" t="s">
        <v>153</v>
      </c>
      <c r="H106">
        <v>43125</v>
      </c>
      <c r="I106">
        <v>43136</v>
      </c>
    </row>
    <row r="107" spans="1:12" x14ac:dyDescent="0.35">
      <c r="A107" t="s">
        <v>120</v>
      </c>
      <c r="B107" t="s">
        <v>179</v>
      </c>
      <c r="C107" t="s">
        <v>180</v>
      </c>
      <c r="D107" t="s">
        <v>155</v>
      </c>
      <c r="F107">
        <v>5052</v>
      </c>
      <c r="G107" t="s">
        <v>153</v>
      </c>
      <c r="H107">
        <v>43125</v>
      </c>
      <c r="I107">
        <v>43136</v>
      </c>
    </row>
    <row r="108" spans="1:12" x14ac:dyDescent="0.35">
      <c r="A108" t="s">
        <v>161</v>
      </c>
      <c r="B108" t="s">
        <v>179</v>
      </c>
      <c r="C108" t="s">
        <v>180</v>
      </c>
      <c r="D108" t="s">
        <v>155</v>
      </c>
      <c r="F108">
        <v>60</v>
      </c>
      <c r="G108" t="s">
        <v>153</v>
      </c>
      <c r="H108">
        <v>43125</v>
      </c>
      <c r="I108">
        <v>43136</v>
      </c>
    </row>
    <row r="109" spans="1:12" x14ac:dyDescent="0.35">
      <c r="A109" t="s">
        <v>182</v>
      </c>
      <c r="B109" t="s">
        <v>179</v>
      </c>
      <c r="C109" t="s">
        <v>180</v>
      </c>
      <c r="D109" t="s">
        <v>155</v>
      </c>
      <c r="G109">
        <v>139</v>
      </c>
      <c r="H109">
        <v>43125</v>
      </c>
      <c r="I109">
        <v>43136</v>
      </c>
    </row>
    <row r="110" spans="1:12" x14ac:dyDescent="0.35">
      <c r="A110" t="s">
        <v>145</v>
      </c>
      <c r="B110" t="s">
        <v>179</v>
      </c>
      <c r="C110" t="s">
        <v>180</v>
      </c>
      <c r="D110" t="s">
        <v>155</v>
      </c>
      <c r="G110">
        <v>238</v>
      </c>
      <c r="H110">
        <v>43125</v>
      </c>
      <c r="I110">
        <v>43136</v>
      </c>
    </row>
    <row r="111" spans="1:12" x14ac:dyDescent="0.35">
      <c r="A111" t="s">
        <v>151</v>
      </c>
      <c r="B111" t="s">
        <v>179</v>
      </c>
      <c r="C111" t="s">
        <v>180</v>
      </c>
      <c r="D111" t="s">
        <v>155</v>
      </c>
      <c r="F111">
        <v>1405452.067995752</v>
      </c>
      <c r="G111">
        <v>843271.24079745112</v>
      </c>
      <c r="H111">
        <v>43125</v>
      </c>
      <c r="I111">
        <v>43136</v>
      </c>
    </row>
    <row r="112" spans="1:12" x14ac:dyDescent="0.35">
      <c r="A112" t="s">
        <v>150</v>
      </c>
      <c r="B112" t="s">
        <v>179</v>
      </c>
      <c r="C112" t="s">
        <v>180</v>
      </c>
      <c r="D112" t="s">
        <v>155</v>
      </c>
      <c r="F112">
        <v>401921</v>
      </c>
      <c r="G112">
        <f>F112/2</f>
        <v>200960.5</v>
      </c>
      <c r="H112">
        <v>43125</v>
      </c>
      <c r="I112">
        <v>43136</v>
      </c>
    </row>
    <row r="113" spans="1:20" x14ac:dyDescent="0.35">
      <c r="A113" t="s">
        <v>183</v>
      </c>
      <c r="B113" t="s">
        <v>179</v>
      </c>
      <c r="C113" t="s">
        <v>180</v>
      </c>
      <c r="D113" t="s">
        <v>155</v>
      </c>
      <c r="F113">
        <v>31894</v>
      </c>
      <c r="G113" t="s">
        <v>153</v>
      </c>
      <c r="H113">
        <v>43125</v>
      </c>
      <c r="I113">
        <v>43136</v>
      </c>
    </row>
    <row r="114" spans="1:20" x14ac:dyDescent="0.35">
      <c r="A114" t="s">
        <v>137</v>
      </c>
      <c r="B114" t="s">
        <v>179</v>
      </c>
      <c r="C114" t="s">
        <v>180</v>
      </c>
      <c r="D114" t="s">
        <v>155</v>
      </c>
      <c r="G114">
        <v>8642</v>
      </c>
      <c r="H114">
        <v>43125</v>
      </c>
      <c r="I114">
        <v>43136</v>
      </c>
    </row>
    <row r="115" spans="1:20" x14ac:dyDescent="0.35">
      <c r="A115" t="s">
        <v>82</v>
      </c>
      <c r="B115" t="s">
        <v>179</v>
      </c>
      <c r="C115" t="s">
        <v>180</v>
      </c>
      <c r="D115" t="s">
        <v>155</v>
      </c>
      <c r="F115">
        <f>G115*2</f>
        <v>3068</v>
      </c>
      <c r="G115">
        <v>1534</v>
      </c>
      <c r="H115">
        <v>43125</v>
      </c>
      <c r="I115">
        <v>43136</v>
      </c>
      <c r="J115">
        <v>43140</v>
      </c>
      <c r="K115" t="s">
        <v>178</v>
      </c>
      <c r="L115">
        <v>43195</v>
      </c>
    </row>
    <row r="116" spans="1:20" x14ac:dyDescent="0.35">
      <c r="A116" t="s">
        <v>134</v>
      </c>
      <c r="B116" t="s">
        <v>179</v>
      </c>
      <c r="C116" t="s">
        <v>180</v>
      </c>
      <c r="D116" t="s">
        <v>155</v>
      </c>
      <c r="F116">
        <f>G116*2</f>
        <v>2104</v>
      </c>
      <c r="G116">
        <v>1052</v>
      </c>
      <c r="H116">
        <v>43125</v>
      </c>
      <c r="I116">
        <v>43136</v>
      </c>
      <c r="J116" t="s">
        <v>184</v>
      </c>
    </row>
    <row r="117" spans="1:20" x14ac:dyDescent="0.35">
      <c r="A117" t="s">
        <v>185</v>
      </c>
      <c r="B117" t="s">
        <v>179</v>
      </c>
      <c r="C117" t="s">
        <v>180</v>
      </c>
      <c r="D117" t="s">
        <v>155</v>
      </c>
      <c r="G117">
        <v>253</v>
      </c>
      <c r="H117">
        <v>43125</v>
      </c>
      <c r="I117">
        <v>43130</v>
      </c>
      <c r="J117">
        <v>43140</v>
      </c>
    </row>
    <row r="118" spans="1:20" x14ac:dyDescent="0.35">
      <c r="A118" t="s">
        <v>30</v>
      </c>
      <c r="B118" t="s">
        <v>179</v>
      </c>
      <c r="C118" t="s">
        <v>180</v>
      </c>
      <c r="D118" t="s">
        <v>155</v>
      </c>
      <c r="F118">
        <f>G118*2</f>
        <v>7662</v>
      </c>
      <c r="G118">
        <v>3831</v>
      </c>
      <c r="H118">
        <v>43125</v>
      </c>
      <c r="I118">
        <v>43136</v>
      </c>
      <c r="J118">
        <v>43140</v>
      </c>
      <c r="K118" t="s">
        <v>178</v>
      </c>
      <c r="L118">
        <v>43195</v>
      </c>
      <c r="M118" t="s">
        <v>168</v>
      </c>
      <c r="N118">
        <v>43190</v>
      </c>
      <c r="O118">
        <v>9872</v>
      </c>
      <c r="P118">
        <v>43205</v>
      </c>
      <c r="Q118">
        <v>43205</v>
      </c>
      <c r="R118">
        <v>11026</v>
      </c>
      <c r="S118">
        <v>51708293</v>
      </c>
      <c r="T118">
        <v>43278</v>
      </c>
    </row>
    <row r="119" spans="1:20" x14ac:dyDescent="0.35">
      <c r="A119" t="s">
        <v>162</v>
      </c>
      <c r="B119" t="s">
        <v>179</v>
      </c>
      <c r="C119" t="s">
        <v>180</v>
      </c>
      <c r="D119" t="s">
        <v>155</v>
      </c>
      <c r="F119">
        <v>9015</v>
      </c>
      <c r="G119">
        <v>5409</v>
      </c>
      <c r="H119">
        <v>43125</v>
      </c>
      <c r="I119">
        <v>43136</v>
      </c>
      <c r="J119">
        <v>43140</v>
      </c>
      <c r="K119" t="s">
        <v>178</v>
      </c>
      <c r="L119">
        <v>43178</v>
      </c>
      <c r="M119">
        <v>2</v>
      </c>
      <c r="N119">
        <v>43178</v>
      </c>
      <c r="O119">
        <v>5409</v>
      </c>
      <c r="P119">
        <v>43178</v>
      </c>
      <c r="Q119">
        <v>43194</v>
      </c>
    </row>
    <row r="120" spans="1:20" x14ac:dyDescent="0.35">
      <c r="A120" t="s">
        <v>186</v>
      </c>
      <c r="B120" t="s">
        <v>179</v>
      </c>
      <c r="C120" t="s">
        <v>180</v>
      </c>
      <c r="D120" t="s">
        <v>155</v>
      </c>
      <c r="F120">
        <v>0</v>
      </c>
      <c r="G120">
        <v>0</v>
      </c>
      <c r="H120">
        <v>43125</v>
      </c>
      <c r="I120">
        <v>43136</v>
      </c>
    </row>
    <row r="121" spans="1:20" x14ac:dyDescent="0.35">
      <c r="A121" t="s">
        <v>157</v>
      </c>
      <c r="B121" t="s">
        <v>187</v>
      </c>
      <c r="C121" t="s">
        <v>180</v>
      </c>
      <c r="D121" t="s">
        <v>155</v>
      </c>
      <c r="F121">
        <v>82</v>
      </c>
      <c r="G121" t="s">
        <v>153</v>
      </c>
      <c r="H121">
        <v>43146</v>
      </c>
      <c r="I121">
        <v>43151</v>
      </c>
      <c r="J121" t="s">
        <v>188</v>
      </c>
    </row>
    <row r="122" spans="1:20" x14ac:dyDescent="0.35">
      <c r="A122" t="s">
        <v>152</v>
      </c>
      <c r="B122" t="s">
        <v>187</v>
      </c>
      <c r="C122" t="s">
        <v>180</v>
      </c>
      <c r="D122" t="s">
        <v>155</v>
      </c>
      <c r="F122">
        <v>15792</v>
      </c>
      <c r="G122" t="s">
        <v>153</v>
      </c>
      <c r="H122">
        <v>43146</v>
      </c>
      <c r="I122">
        <v>43151</v>
      </c>
    </row>
    <row r="123" spans="1:20" x14ac:dyDescent="0.35">
      <c r="A123" t="s">
        <v>158</v>
      </c>
      <c r="B123" t="s">
        <v>187</v>
      </c>
      <c r="C123" t="s">
        <v>180</v>
      </c>
      <c r="D123" t="s">
        <v>155</v>
      </c>
      <c r="F123">
        <v>35</v>
      </c>
      <c r="G123" t="s">
        <v>153</v>
      </c>
      <c r="H123">
        <v>43146</v>
      </c>
      <c r="I123">
        <v>43151</v>
      </c>
      <c r="J123" t="s">
        <v>188</v>
      </c>
    </row>
    <row r="124" spans="1:20" x14ac:dyDescent="0.35">
      <c r="A124" t="s">
        <v>159</v>
      </c>
      <c r="B124" t="s">
        <v>187</v>
      </c>
      <c r="C124" t="s">
        <v>180</v>
      </c>
      <c r="D124" t="s">
        <v>155</v>
      </c>
      <c r="F124">
        <v>17</v>
      </c>
      <c r="G124" t="s">
        <v>153</v>
      </c>
      <c r="H124">
        <v>43146</v>
      </c>
      <c r="I124">
        <v>43151</v>
      </c>
    </row>
    <row r="125" spans="1:20" x14ac:dyDescent="0.35">
      <c r="A125" t="s">
        <v>137</v>
      </c>
      <c r="B125" t="s">
        <v>187</v>
      </c>
      <c r="C125" t="s">
        <v>180</v>
      </c>
      <c r="D125" t="s">
        <v>155</v>
      </c>
      <c r="G125">
        <v>63</v>
      </c>
      <c r="H125">
        <v>43146</v>
      </c>
      <c r="I125">
        <v>43151</v>
      </c>
    </row>
    <row r="126" spans="1:20" x14ac:dyDescent="0.35">
      <c r="A126" t="s">
        <v>78</v>
      </c>
      <c r="B126" t="s">
        <v>187</v>
      </c>
      <c r="C126" t="s">
        <v>180</v>
      </c>
      <c r="D126" t="s">
        <v>155</v>
      </c>
      <c r="F126">
        <f>G126*2</f>
        <v>2098</v>
      </c>
      <c r="G126">
        <v>1049</v>
      </c>
      <c r="H126">
        <v>43146</v>
      </c>
      <c r="I126">
        <v>43151</v>
      </c>
    </row>
    <row r="127" spans="1:20" x14ac:dyDescent="0.35">
      <c r="A127" t="s">
        <v>160</v>
      </c>
      <c r="B127" t="s">
        <v>187</v>
      </c>
      <c r="C127" t="s">
        <v>180</v>
      </c>
      <c r="D127" t="s">
        <v>155</v>
      </c>
      <c r="F127">
        <v>113</v>
      </c>
      <c r="G127" t="s">
        <v>153</v>
      </c>
      <c r="H127">
        <v>43146</v>
      </c>
      <c r="I127">
        <v>43151</v>
      </c>
      <c r="J127" t="s">
        <v>188</v>
      </c>
    </row>
    <row r="128" spans="1:20" x14ac:dyDescent="0.35">
      <c r="A128" t="s">
        <v>120</v>
      </c>
      <c r="B128" t="s">
        <v>187</v>
      </c>
      <c r="C128" t="s">
        <v>180</v>
      </c>
      <c r="D128" t="s">
        <v>155</v>
      </c>
      <c r="F128">
        <v>178</v>
      </c>
      <c r="G128" t="s">
        <v>153</v>
      </c>
      <c r="H128">
        <v>43146</v>
      </c>
      <c r="I128">
        <v>43151</v>
      </c>
    </row>
    <row r="129" spans="1:20" x14ac:dyDescent="0.35">
      <c r="A129" t="s">
        <v>161</v>
      </c>
      <c r="B129" t="s">
        <v>187</v>
      </c>
      <c r="C129" t="s">
        <v>180</v>
      </c>
      <c r="D129" t="s">
        <v>155</v>
      </c>
      <c r="F129">
        <v>1</v>
      </c>
      <c r="G129" t="s">
        <v>153</v>
      </c>
      <c r="H129">
        <v>43146</v>
      </c>
      <c r="I129">
        <v>43151</v>
      </c>
    </row>
    <row r="130" spans="1:20" x14ac:dyDescent="0.35">
      <c r="A130" t="s">
        <v>82</v>
      </c>
      <c r="B130" t="s">
        <v>187</v>
      </c>
      <c r="C130" t="s">
        <v>180</v>
      </c>
      <c r="D130" t="s">
        <v>155</v>
      </c>
      <c r="F130">
        <f>G130*2</f>
        <v>2044</v>
      </c>
      <c r="G130">
        <v>1022</v>
      </c>
      <c r="H130">
        <v>43146</v>
      </c>
      <c r="I130">
        <v>43151</v>
      </c>
      <c r="J130">
        <v>43188</v>
      </c>
      <c r="K130" t="s">
        <v>167</v>
      </c>
      <c r="L130">
        <v>43195</v>
      </c>
    </row>
    <row r="131" spans="1:20" x14ac:dyDescent="0.35">
      <c r="A131" t="s">
        <v>151</v>
      </c>
      <c r="B131" t="s">
        <v>187</v>
      </c>
      <c r="C131" t="s">
        <v>180</v>
      </c>
      <c r="D131" t="s">
        <v>155</v>
      </c>
      <c r="F131">
        <v>431227.12881904229</v>
      </c>
      <c r="G131">
        <v>258736</v>
      </c>
      <c r="H131">
        <v>43146</v>
      </c>
      <c r="I131">
        <v>43151</v>
      </c>
    </row>
    <row r="132" spans="1:20" x14ac:dyDescent="0.35">
      <c r="A132" t="s">
        <v>183</v>
      </c>
      <c r="B132" t="s">
        <v>187</v>
      </c>
      <c r="C132" t="s">
        <v>180</v>
      </c>
      <c r="D132" t="s">
        <v>155</v>
      </c>
      <c r="F132">
        <v>142826</v>
      </c>
      <c r="G132" t="s">
        <v>153</v>
      </c>
      <c r="H132">
        <v>43146</v>
      </c>
      <c r="I132">
        <v>43151</v>
      </c>
    </row>
    <row r="133" spans="1:20" x14ac:dyDescent="0.35">
      <c r="A133" t="s">
        <v>150</v>
      </c>
      <c r="B133" t="s">
        <v>187</v>
      </c>
      <c r="C133" t="s">
        <v>180</v>
      </c>
      <c r="D133" t="s">
        <v>155</v>
      </c>
      <c r="F133">
        <v>236664</v>
      </c>
      <c r="G133">
        <f>F133/2</f>
        <v>118332</v>
      </c>
      <c r="H133">
        <v>43146</v>
      </c>
      <c r="I133">
        <v>43151</v>
      </c>
    </row>
    <row r="134" spans="1:20" x14ac:dyDescent="0.35">
      <c r="A134" t="s">
        <v>189</v>
      </c>
      <c r="B134" t="s">
        <v>187</v>
      </c>
      <c r="C134" t="s">
        <v>180</v>
      </c>
      <c r="D134" t="s">
        <v>155</v>
      </c>
      <c r="G134">
        <v>73</v>
      </c>
      <c r="H134">
        <v>43146</v>
      </c>
      <c r="I134">
        <v>43151</v>
      </c>
    </row>
    <row r="135" spans="1:20" x14ac:dyDescent="0.35">
      <c r="A135" t="s">
        <v>186</v>
      </c>
      <c r="B135" t="s">
        <v>187</v>
      </c>
      <c r="C135" t="s">
        <v>180</v>
      </c>
      <c r="D135" t="s">
        <v>155</v>
      </c>
      <c r="F135">
        <v>0</v>
      </c>
      <c r="G135">
        <v>0</v>
      </c>
      <c r="H135">
        <v>43146</v>
      </c>
      <c r="I135">
        <v>43151</v>
      </c>
    </row>
    <row r="136" spans="1:20" x14ac:dyDescent="0.35">
      <c r="A136" t="s">
        <v>185</v>
      </c>
      <c r="B136" t="s">
        <v>187</v>
      </c>
      <c r="C136" t="s">
        <v>180</v>
      </c>
      <c r="D136" t="s">
        <v>155</v>
      </c>
      <c r="G136">
        <v>151</v>
      </c>
      <c r="H136">
        <v>43146</v>
      </c>
      <c r="I136">
        <v>43151</v>
      </c>
      <c r="L136">
        <v>43334</v>
      </c>
    </row>
    <row r="137" spans="1:20" x14ac:dyDescent="0.35">
      <c r="A137" t="s">
        <v>30</v>
      </c>
      <c r="B137" t="s">
        <v>187</v>
      </c>
      <c r="C137" t="s">
        <v>180</v>
      </c>
      <c r="D137" t="s">
        <v>155</v>
      </c>
      <c r="F137">
        <f>G137*2</f>
        <v>8740</v>
      </c>
      <c r="G137">
        <v>4370</v>
      </c>
      <c r="H137">
        <v>43146</v>
      </c>
      <c r="I137">
        <v>43151</v>
      </c>
      <c r="J137">
        <v>43188</v>
      </c>
      <c r="K137" t="s">
        <v>167</v>
      </c>
      <c r="L137">
        <v>43195</v>
      </c>
      <c r="M137" t="s">
        <v>168</v>
      </c>
      <c r="N137">
        <v>43190</v>
      </c>
      <c r="O137">
        <v>9872</v>
      </c>
      <c r="P137">
        <v>43205</v>
      </c>
      <c r="Q137">
        <v>43205</v>
      </c>
      <c r="R137">
        <v>11026</v>
      </c>
      <c r="S137">
        <v>51708293</v>
      </c>
      <c r="T137">
        <v>43278</v>
      </c>
    </row>
    <row r="138" spans="1:20" x14ac:dyDescent="0.35">
      <c r="A138" t="s">
        <v>162</v>
      </c>
      <c r="B138" t="s">
        <v>187</v>
      </c>
      <c r="C138" t="s">
        <v>180</v>
      </c>
      <c r="D138" t="s">
        <v>155</v>
      </c>
      <c r="F138">
        <v>6308</v>
      </c>
      <c r="G138">
        <v>3785</v>
      </c>
      <c r="H138">
        <v>43146</v>
      </c>
      <c r="I138">
        <v>43151</v>
      </c>
      <c r="J138">
        <v>43188</v>
      </c>
      <c r="K138" t="s">
        <v>167</v>
      </c>
      <c r="L138">
        <v>43269</v>
      </c>
    </row>
    <row r="139" spans="1:20" x14ac:dyDescent="0.35">
      <c r="A139" t="s">
        <v>190</v>
      </c>
      <c r="B139" t="s">
        <v>187</v>
      </c>
      <c r="C139" t="s">
        <v>180</v>
      </c>
      <c r="D139" t="s">
        <v>155</v>
      </c>
      <c r="F139">
        <f>G139*2</f>
        <v>3594</v>
      </c>
      <c r="G139">
        <v>1797</v>
      </c>
      <c r="H139">
        <v>43146</v>
      </c>
      <c r="I139">
        <v>43151</v>
      </c>
    </row>
    <row r="140" spans="1:20" x14ac:dyDescent="0.35">
      <c r="A140" t="s">
        <v>152</v>
      </c>
      <c r="B140" t="s">
        <v>191</v>
      </c>
      <c r="C140" t="s">
        <v>127</v>
      </c>
      <c r="D140" t="s">
        <v>128</v>
      </c>
      <c r="F140">
        <v>18.59</v>
      </c>
      <c r="G140" t="s">
        <v>153</v>
      </c>
      <c r="H140">
        <v>43151</v>
      </c>
      <c r="I140">
        <v>43158</v>
      </c>
    </row>
    <row r="141" spans="1:20" x14ac:dyDescent="0.35">
      <c r="A141" t="s">
        <v>78</v>
      </c>
      <c r="B141" t="s">
        <v>191</v>
      </c>
      <c r="C141" t="s">
        <v>127</v>
      </c>
      <c r="D141" t="s">
        <v>128</v>
      </c>
      <c r="F141">
        <f>G141*2</f>
        <v>358</v>
      </c>
      <c r="G141">
        <v>179</v>
      </c>
      <c r="H141">
        <v>43151</v>
      </c>
      <c r="I141">
        <v>43158</v>
      </c>
      <c r="J141">
        <v>43188</v>
      </c>
      <c r="K141" t="s">
        <v>167</v>
      </c>
    </row>
    <row r="142" spans="1:20" x14ac:dyDescent="0.35">
      <c r="A142" t="s">
        <v>120</v>
      </c>
      <c r="B142" t="s">
        <v>191</v>
      </c>
      <c r="C142" t="s">
        <v>127</v>
      </c>
      <c r="D142" t="s">
        <v>128</v>
      </c>
      <c r="F142">
        <v>405.83</v>
      </c>
      <c r="G142" t="s">
        <v>153</v>
      </c>
      <c r="H142">
        <v>43151</v>
      </c>
      <c r="I142">
        <v>43158</v>
      </c>
      <c r="J142" t="s">
        <v>192</v>
      </c>
    </row>
    <row r="143" spans="1:20" x14ac:dyDescent="0.35">
      <c r="A143" t="s">
        <v>30</v>
      </c>
      <c r="B143" t="s">
        <v>191</v>
      </c>
      <c r="C143" t="s">
        <v>127</v>
      </c>
      <c r="D143" t="s">
        <v>128</v>
      </c>
      <c r="F143">
        <f>G143*2</f>
        <v>73.040000000000006</v>
      </c>
      <c r="G143">
        <v>36.520000000000003</v>
      </c>
      <c r="H143">
        <v>43151</v>
      </c>
      <c r="I143">
        <v>43158</v>
      </c>
      <c r="J143">
        <v>43188</v>
      </c>
      <c r="K143" t="s">
        <v>167</v>
      </c>
      <c r="L143">
        <v>43195</v>
      </c>
      <c r="M143" t="s">
        <v>168</v>
      </c>
      <c r="N143">
        <v>43190</v>
      </c>
      <c r="O143">
        <v>9872</v>
      </c>
      <c r="P143">
        <v>43205</v>
      </c>
      <c r="Q143">
        <v>43205</v>
      </c>
      <c r="R143">
        <v>11026</v>
      </c>
      <c r="S143">
        <v>51708293</v>
      </c>
      <c r="T143">
        <v>43278</v>
      </c>
    </row>
    <row r="144" spans="1:20" x14ac:dyDescent="0.35">
      <c r="A144" t="s">
        <v>190</v>
      </c>
      <c r="B144" t="s">
        <v>191</v>
      </c>
      <c r="C144" t="s">
        <v>127</v>
      </c>
      <c r="D144" t="s">
        <v>128</v>
      </c>
      <c r="F144">
        <f>G144*2</f>
        <v>109.94</v>
      </c>
      <c r="G144">
        <v>54.97</v>
      </c>
      <c r="H144">
        <v>43151</v>
      </c>
      <c r="I144">
        <v>43158</v>
      </c>
    </row>
    <row r="145" spans="1:12" x14ac:dyDescent="0.35">
      <c r="A145" t="s">
        <v>193</v>
      </c>
      <c r="B145" t="s">
        <v>191</v>
      </c>
      <c r="C145" t="s">
        <v>127</v>
      </c>
      <c r="D145" t="s">
        <v>194</v>
      </c>
      <c r="F145">
        <f>G145*2</f>
        <v>78</v>
      </c>
      <c r="G145">
        <v>39</v>
      </c>
      <c r="H145">
        <v>43202</v>
      </c>
      <c r="I145">
        <v>43202</v>
      </c>
      <c r="J145">
        <v>43279</v>
      </c>
      <c r="K145" t="s">
        <v>195</v>
      </c>
      <c r="L145">
        <v>43202</v>
      </c>
    </row>
    <row r="146" spans="1:12" x14ac:dyDescent="0.35">
      <c r="A146" t="s">
        <v>151</v>
      </c>
      <c r="B146" t="s">
        <v>191</v>
      </c>
      <c r="C146" t="s">
        <v>127</v>
      </c>
      <c r="D146" t="s">
        <v>128</v>
      </c>
      <c r="F146">
        <v>705.88</v>
      </c>
      <c r="G146">
        <v>424</v>
      </c>
      <c r="H146">
        <v>43151</v>
      </c>
      <c r="I146">
        <v>43158</v>
      </c>
    </row>
    <row r="147" spans="1:12" x14ac:dyDescent="0.35">
      <c r="A147" t="s">
        <v>150</v>
      </c>
      <c r="B147" t="s">
        <v>191</v>
      </c>
      <c r="C147" t="s">
        <v>127</v>
      </c>
      <c r="D147" t="s">
        <v>128</v>
      </c>
      <c r="F147">
        <v>204</v>
      </c>
      <c r="G147">
        <f>F147/2</f>
        <v>102</v>
      </c>
      <c r="H147">
        <v>43151</v>
      </c>
      <c r="I147">
        <v>43158</v>
      </c>
      <c r="J147" t="s">
        <v>192</v>
      </c>
    </row>
    <row r="148" spans="1:12" x14ac:dyDescent="0.35">
      <c r="A148" t="s">
        <v>151</v>
      </c>
      <c r="B148" t="s">
        <v>196</v>
      </c>
      <c r="C148" t="s">
        <v>132</v>
      </c>
      <c r="D148" t="s">
        <v>123</v>
      </c>
      <c r="G148">
        <v>36</v>
      </c>
      <c r="H148">
        <v>43172</v>
      </c>
      <c r="I148">
        <v>43173</v>
      </c>
    </row>
    <row r="149" spans="1:12" x14ac:dyDescent="0.35">
      <c r="A149" t="s">
        <v>150</v>
      </c>
      <c r="B149" t="s">
        <v>196</v>
      </c>
      <c r="C149" t="s">
        <v>132</v>
      </c>
      <c r="D149" t="s">
        <v>123</v>
      </c>
      <c r="F149">
        <v>48</v>
      </c>
      <c r="G149">
        <f>F149/2</f>
        <v>24</v>
      </c>
      <c r="H149">
        <v>43172</v>
      </c>
      <c r="I149">
        <v>43173</v>
      </c>
    </row>
    <row r="150" spans="1:12" x14ac:dyDescent="0.35">
      <c r="A150" t="s">
        <v>157</v>
      </c>
      <c r="B150" t="s">
        <v>197</v>
      </c>
      <c r="C150" t="s">
        <v>122</v>
      </c>
      <c r="D150" t="s">
        <v>123</v>
      </c>
      <c r="F150">
        <v>1656</v>
      </c>
      <c r="G150" t="s">
        <v>153</v>
      </c>
      <c r="H150">
        <v>43172</v>
      </c>
      <c r="J150" t="s">
        <v>188</v>
      </c>
    </row>
    <row r="151" spans="1:12" x14ac:dyDescent="0.35">
      <c r="A151" t="s">
        <v>152</v>
      </c>
      <c r="B151" t="s">
        <v>197</v>
      </c>
      <c r="C151" t="s">
        <v>122</v>
      </c>
      <c r="D151" t="s">
        <v>123</v>
      </c>
      <c r="F151">
        <v>59</v>
      </c>
      <c r="G151" t="s">
        <v>153</v>
      </c>
      <c r="H151">
        <v>43172</v>
      </c>
      <c r="I151">
        <v>43174</v>
      </c>
    </row>
    <row r="152" spans="1:12" x14ac:dyDescent="0.35">
      <c r="A152" t="s">
        <v>158</v>
      </c>
      <c r="B152" t="s">
        <v>197</v>
      </c>
      <c r="C152" t="s">
        <v>122</v>
      </c>
      <c r="D152" t="s">
        <v>123</v>
      </c>
      <c r="F152">
        <v>266</v>
      </c>
      <c r="G152" t="s">
        <v>153</v>
      </c>
      <c r="H152">
        <v>43172</v>
      </c>
      <c r="J152" t="s">
        <v>188</v>
      </c>
    </row>
    <row r="153" spans="1:12" x14ac:dyDescent="0.35">
      <c r="A153" t="s">
        <v>159</v>
      </c>
      <c r="B153" t="s">
        <v>197</v>
      </c>
      <c r="C153" t="s">
        <v>122</v>
      </c>
      <c r="D153" t="s">
        <v>123</v>
      </c>
      <c r="F153">
        <v>2</v>
      </c>
      <c r="G153" t="s">
        <v>153</v>
      </c>
      <c r="H153">
        <v>43172</v>
      </c>
      <c r="I153">
        <v>43174</v>
      </c>
    </row>
    <row r="154" spans="1:12" x14ac:dyDescent="0.35">
      <c r="A154" t="s">
        <v>160</v>
      </c>
      <c r="B154" t="s">
        <v>197</v>
      </c>
      <c r="C154" t="s">
        <v>122</v>
      </c>
      <c r="D154" t="s">
        <v>123</v>
      </c>
      <c r="F154">
        <v>127</v>
      </c>
      <c r="G154" t="s">
        <v>153</v>
      </c>
      <c r="H154">
        <v>43172</v>
      </c>
      <c r="I154">
        <v>43174</v>
      </c>
    </row>
    <row r="155" spans="1:12" x14ac:dyDescent="0.35">
      <c r="A155" t="s">
        <v>120</v>
      </c>
      <c r="B155" t="s">
        <v>197</v>
      </c>
      <c r="C155" t="s">
        <v>122</v>
      </c>
      <c r="D155" t="s">
        <v>123</v>
      </c>
      <c r="F155">
        <v>400</v>
      </c>
      <c r="G155" t="s">
        <v>153</v>
      </c>
      <c r="H155">
        <v>43172</v>
      </c>
      <c r="I155">
        <v>43174</v>
      </c>
    </row>
    <row r="156" spans="1:12" x14ac:dyDescent="0.35">
      <c r="A156" t="s">
        <v>161</v>
      </c>
      <c r="B156" t="s">
        <v>197</v>
      </c>
      <c r="C156" t="s">
        <v>122</v>
      </c>
      <c r="D156" t="s">
        <v>123</v>
      </c>
      <c r="F156">
        <v>7</v>
      </c>
      <c r="G156" t="s">
        <v>153</v>
      </c>
      <c r="H156">
        <v>43172</v>
      </c>
      <c r="I156">
        <v>43174</v>
      </c>
    </row>
    <row r="157" spans="1:12" x14ac:dyDescent="0.35">
      <c r="A157" t="s">
        <v>82</v>
      </c>
      <c r="B157" t="s">
        <v>197</v>
      </c>
      <c r="C157" t="s">
        <v>122</v>
      </c>
      <c r="D157" t="s">
        <v>123</v>
      </c>
      <c r="F157">
        <f>G157*2</f>
        <v>144</v>
      </c>
      <c r="G157">
        <v>72</v>
      </c>
      <c r="H157">
        <v>43172</v>
      </c>
      <c r="I157">
        <v>43174</v>
      </c>
      <c r="J157">
        <v>43188</v>
      </c>
      <c r="K157" t="s">
        <v>167</v>
      </c>
      <c r="L157">
        <v>43195</v>
      </c>
    </row>
    <row r="158" spans="1:12" x14ac:dyDescent="0.35">
      <c r="A158" t="s">
        <v>151</v>
      </c>
      <c r="B158" t="s">
        <v>197</v>
      </c>
      <c r="C158" t="s">
        <v>122</v>
      </c>
      <c r="D158" t="s">
        <v>123</v>
      </c>
      <c r="F158">
        <v>4219</v>
      </c>
      <c r="G158">
        <v>2531.6524109123861</v>
      </c>
      <c r="H158">
        <v>43172</v>
      </c>
      <c r="I158">
        <v>43174</v>
      </c>
    </row>
    <row r="159" spans="1:12" x14ac:dyDescent="0.35">
      <c r="A159" t="s">
        <v>150</v>
      </c>
      <c r="B159" t="s">
        <v>197</v>
      </c>
      <c r="C159" t="s">
        <v>122</v>
      </c>
      <c r="D159" t="s">
        <v>123</v>
      </c>
      <c r="F159">
        <v>341</v>
      </c>
      <c r="G159">
        <v>171</v>
      </c>
      <c r="H159">
        <v>43172</v>
      </c>
      <c r="I159">
        <v>43174</v>
      </c>
    </row>
    <row r="160" spans="1:12" x14ac:dyDescent="0.35">
      <c r="A160" t="s">
        <v>183</v>
      </c>
      <c r="B160" t="s">
        <v>197</v>
      </c>
      <c r="C160" t="s">
        <v>122</v>
      </c>
      <c r="D160" t="s">
        <v>123</v>
      </c>
      <c r="F160">
        <v>118</v>
      </c>
      <c r="G160" t="s">
        <v>153</v>
      </c>
      <c r="H160">
        <v>43172</v>
      </c>
      <c r="I160">
        <v>43174</v>
      </c>
    </row>
    <row r="161" spans="1:20" x14ac:dyDescent="0.35">
      <c r="A161" t="s">
        <v>30</v>
      </c>
      <c r="B161" t="s">
        <v>197</v>
      </c>
      <c r="C161" t="s">
        <v>122</v>
      </c>
      <c r="D161" t="s">
        <v>123</v>
      </c>
      <c r="F161">
        <f>G161*2</f>
        <v>82</v>
      </c>
      <c r="G161">
        <v>41</v>
      </c>
      <c r="H161">
        <v>43172</v>
      </c>
      <c r="I161">
        <v>43174</v>
      </c>
      <c r="J161">
        <v>43188</v>
      </c>
      <c r="K161" t="s">
        <v>167</v>
      </c>
      <c r="L161">
        <v>43195</v>
      </c>
      <c r="M161" t="s">
        <v>168</v>
      </c>
      <c r="N161">
        <v>43190</v>
      </c>
      <c r="O161">
        <v>9872</v>
      </c>
      <c r="P161">
        <v>43205</v>
      </c>
      <c r="Q161">
        <v>43205</v>
      </c>
      <c r="R161">
        <v>11026</v>
      </c>
      <c r="S161">
        <v>51708293</v>
      </c>
      <c r="T161">
        <v>43278</v>
      </c>
    </row>
    <row r="162" spans="1:20" x14ac:dyDescent="0.35">
      <c r="A162" t="s">
        <v>120</v>
      </c>
      <c r="B162" t="s">
        <v>198</v>
      </c>
      <c r="C162" t="s">
        <v>173</v>
      </c>
      <c r="D162" t="s">
        <v>123</v>
      </c>
      <c r="F162">
        <v>115</v>
      </c>
      <c r="G162" t="s">
        <v>153</v>
      </c>
      <c r="H162">
        <v>43163</v>
      </c>
      <c r="I162">
        <v>43164</v>
      </c>
    </row>
    <row r="163" spans="1:20" x14ac:dyDescent="0.35">
      <c r="A163" t="s">
        <v>82</v>
      </c>
      <c r="B163" t="s">
        <v>198</v>
      </c>
      <c r="C163" t="s">
        <v>173</v>
      </c>
      <c r="D163" t="s">
        <v>123</v>
      </c>
      <c r="F163">
        <f>G163*2</f>
        <v>58</v>
      </c>
      <c r="G163">
        <v>29</v>
      </c>
      <c r="H163">
        <v>43163</v>
      </c>
      <c r="I163">
        <v>43164</v>
      </c>
      <c r="J163">
        <v>43200</v>
      </c>
      <c r="K163" t="s">
        <v>147</v>
      </c>
      <c r="L163">
        <v>43328</v>
      </c>
    </row>
    <row r="164" spans="1:20" x14ac:dyDescent="0.35">
      <c r="A164" t="s">
        <v>157</v>
      </c>
      <c r="B164" t="s">
        <v>199</v>
      </c>
      <c r="C164" t="s">
        <v>122</v>
      </c>
      <c r="D164" t="s">
        <v>123</v>
      </c>
      <c r="F164">
        <v>216</v>
      </c>
      <c r="G164" t="s">
        <v>153</v>
      </c>
      <c r="H164">
        <v>43202</v>
      </c>
      <c r="I164">
        <v>43203</v>
      </c>
    </row>
    <row r="165" spans="1:20" x14ac:dyDescent="0.35">
      <c r="A165" t="s">
        <v>152</v>
      </c>
      <c r="B165" t="s">
        <v>199</v>
      </c>
      <c r="C165" t="s">
        <v>122</v>
      </c>
      <c r="D165" t="s">
        <v>123</v>
      </c>
      <c r="F165">
        <v>334</v>
      </c>
      <c r="G165" t="s">
        <v>153</v>
      </c>
      <c r="H165">
        <v>43202</v>
      </c>
      <c r="I165">
        <v>43203</v>
      </c>
    </row>
    <row r="166" spans="1:20" x14ac:dyDescent="0.35">
      <c r="A166" t="s">
        <v>160</v>
      </c>
      <c r="B166" t="s">
        <v>199</v>
      </c>
      <c r="C166" t="s">
        <v>122</v>
      </c>
      <c r="D166" t="s">
        <v>123</v>
      </c>
      <c r="F166">
        <v>196</v>
      </c>
      <c r="G166" t="s">
        <v>153</v>
      </c>
      <c r="H166">
        <v>43202</v>
      </c>
      <c r="I166">
        <v>43203</v>
      </c>
    </row>
    <row r="167" spans="1:20" x14ac:dyDescent="0.35">
      <c r="A167" t="s">
        <v>151</v>
      </c>
      <c r="B167" t="s">
        <v>199</v>
      </c>
      <c r="C167" t="s">
        <v>122</v>
      </c>
      <c r="D167" t="s">
        <v>123</v>
      </c>
      <c r="F167">
        <v>724.38918609203733</v>
      </c>
      <c r="G167">
        <v>435</v>
      </c>
      <c r="H167">
        <v>43202</v>
      </c>
      <c r="I167">
        <v>43203</v>
      </c>
    </row>
    <row r="168" spans="1:20" x14ac:dyDescent="0.35">
      <c r="A168" t="s">
        <v>150</v>
      </c>
      <c r="B168" t="s">
        <v>199</v>
      </c>
      <c r="C168" t="s">
        <v>122</v>
      </c>
      <c r="D168" t="s">
        <v>123</v>
      </c>
      <c r="F168">
        <v>39</v>
      </c>
      <c r="G168">
        <v>20</v>
      </c>
      <c r="H168">
        <v>43202</v>
      </c>
      <c r="I168">
        <v>43203</v>
      </c>
    </row>
    <row r="169" spans="1:20" x14ac:dyDescent="0.35">
      <c r="A169" t="s">
        <v>183</v>
      </c>
      <c r="B169" t="s">
        <v>199</v>
      </c>
      <c r="C169" t="s">
        <v>122</v>
      </c>
      <c r="D169" t="s">
        <v>123</v>
      </c>
      <c r="F169">
        <v>58</v>
      </c>
      <c r="G169" t="s">
        <v>153</v>
      </c>
      <c r="H169">
        <v>43202</v>
      </c>
      <c r="I169">
        <v>43203</v>
      </c>
    </row>
    <row r="170" spans="1:20" x14ac:dyDescent="0.35">
      <c r="A170" t="s">
        <v>157</v>
      </c>
      <c r="B170" t="s">
        <v>200</v>
      </c>
      <c r="C170" t="s">
        <v>180</v>
      </c>
      <c r="D170" t="s">
        <v>155</v>
      </c>
      <c r="F170">
        <v>9</v>
      </c>
      <c r="G170" t="s">
        <v>153</v>
      </c>
      <c r="H170">
        <v>43238</v>
      </c>
      <c r="I170">
        <v>43244</v>
      </c>
    </row>
    <row r="171" spans="1:20" x14ac:dyDescent="0.35">
      <c r="A171" t="s">
        <v>152</v>
      </c>
      <c r="B171" t="s">
        <v>200</v>
      </c>
      <c r="C171" t="s">
        <v>180</v>
      </c>
      <c r="D171" t="s">
        <v>155</v>
      </c>
      <c r="F171">
        <v>20889</v>
      </c>
      <c r="G171" t="s">
        <v>153</v>
      </c>
      <c r="H171">
        <v>43238</v>
      </c>
      <c r="I171">
        <v>43244</v>
      </c>
    </row>
    <row r="172" spans="1:20" x14ac:dyDescent="0.35">
      <c r="A172" t="s">
        <v>158</v>
      </c>
      <c r="B172" t="s">
        <v>200</v>
      </c>
      <c r="C172" t="s">
        <v>180</v>
      </c>
      <c r="D172" t="s">
        <v>155</v>
      </c>
      <c r="F172">
        <v>7</v>
      </c>
      <c r="G172" t="s">
        <v>153</v>
      </c>
      <c r="H172">
        <v>43238</v>
      </c>
      <c r="I172">
        <v>43244</v>
      </c>
    </row>
    <row r="173" spans="1:20" x14ac:dyDescent="0.35">
      <c r="A173" t="s">
        <v>159</v>
      </c>
      <c r="B173" t="s">
        <v>200</v>
      </c>
      <c r="C173" t="s">
        <v>180</v>
      </c>
      <c r="D173" t="s">
        <v>155</v>
      </c>
      <c r="F173">
        <v>2</v>
      </c>
      <c r="G173" t="s">
        <v>153</v>
      </c>
      <c r="H173">
        <v>43238</v>
      </c>
      <c r="I173">
        <v>43244</v>
      </c>
    </row>
    <row r="174" spans="1:20" x14ac:dyDescent="0.35">
      <c r="A174" t="s">
        <v>160</v>
      </c>
      <c r="B174" t="s">
        <v>200</v>
      </c>
      <c r="C174" t="s">
        <v>180</v>
      </c>
      <c r="D174" t="s">
        <v>155</v>
      </c>
      <c r="F174">
        <v>80</v>
      </c>
      <c r="G174" t="s">
        <v>153</v>
      </c>
      <c r="H174">
        <v>43238</v>
      </c>
      <c r="I174">
        <v>43244</v>
      </c>
    </row>
    <row r="175" spans="1:20" x14ac:dyDescent="0.35">
      <c r="A175" t="s">
        <v>120</v>
      </c>
      <c r="B175" t="s">
        <v>200</v>
      </c>
      <c r="C175" t="s">
        <v>180</v>
      </c>
      <c r="D175" t="s">
        <v>155</v>
      </c>
      <c r="F175">
        <v>189</v>
      </c>
      <c r="G175" t="s">
        <v>153</v>
      </c>
      <c r="H175">
        <v>43238</v>
      </c>
      <c r="I175">
        <v>43244</v>
      </c>
    </row>
    <row r="176" spans="1:20" x14ac:dyDescent="0.35">
      <c r="A176" t="s">
        <v>151</v>
      </c>
      <c r="B176" t="s">
        <v>200</v>
      </c>
      <c r="C176" t="s">
        <v>180</v>
      </c>
      <c r="D176" t="s">
        <v>155</v>
      </c>
      <c r="F176">
        <v>489230.59103193268</v>
      </c>
      <c r="G176">
        <v>293538.35461915971</v>
      </c>
      <c r="H176">
        <v>43238</v>
      </c>
      <c r="I176">
        <v>43244</v>
      </c>
    </row>
    <row r="177" spans="1:20" x14ac:dyDescent="0.35">
      <c r="A177" t="s">
        <v>150</v>
      </c>
      <c r="B177" t="s">
        <v>200</v>
      </c>
      <c r="C177" t="s">
        <v>180</v>
      </c>
      <c r="D177" t="s">
        <v>155</v>
      </c>
      <c r="F177">
        <v>123523</v>
      </c>
      <c r="G177">
        <f>F177/2</f>
        <v>61761.5</v>
      </c>
      <c r="H177">
        <v>43265</v>
      </c>
      <c r="I177">
        <v>43269</v>
      </c>
    </row>
    <row r="178" spans="1:20" x14ac:dyDescent="0.35">
      <c r="A178" t="s">
        <v>183</v>
      </c>
      <c r="B178" t="s">
        <v>200</v>
      </c>
      <c r="C178" t="s">
        <v>180</v>
      </c>
      <c r="D178" t="s">
        <v>155</v>
      </c>
      <c r="F178">
        <v>215404</v>
      </c>
      <c r="G178" t="s">
        <v>153</v>
      </c>
      <c r="H178">
        <v>43265</v>
      </c>
      <c r="I178">
        <v>43269</v>
      </c>
    </row>
    <row r="179" spans="1:20" x14ac:dyDescent="0.35">
      <c r="A179" t="s">
        <v>189</v>
      </c>
      <c r="B179" t="s">
        <v>200</v>
      </c>
      <c r="C179" t="s">
        <v>180</v>
      </c>
      <c r="D179" t="s">
        <v>155</v>
      </c>
      <c r="G179">
        <v>54800</v>
      </c>
      <c r="H179">
        <v>43238</v>
      </c>
      <c r="I179">
        <v>43244</v>
      </c>
    </row>
    <row r="180" spans="1:20" x14ac:dyDescent="0.35">
      <c r="A180" t="s">
        <v>78</v>
      </c>
      <c r="B180" t="s">
        <v>200</v>
      </c>
      <c r="C180" t="s">
        <v>180</v>
      </c>
      <c r="D180" t="s">
        <v>155</v>
      </c>
      <c r="F180">
        <f>G180*2</f>
        <v>3676</v>
      </c>
      <c r="G180">
        <v>1838</v>
      </c>
      <c r="H180">
        <v>43238</v>
      </c>
      <c r="I180">
        <v>43244</v>
      </c>
    </row>
    <row r="181" spans="1:20" x14ac:dyDescent="0.35">
      <c r="A181" t="s">
        <v>186</v>
      </c>
      <c r="B181" t="s">
        <v>200</v>
      </c>
      <c r="C181" t="s">
        <v>180</v>
      </c>
      <c r="D181" t="s">
        <v>155</v>
      </c>
      <c r="F181">
        <v>18</v>
      </c>
      <c r="G181">
        <v>9</v>
      </c>
      <c r="H181">
        <v>43238</v>
      </c>
      <c r="I181">
        <v>43244</v>
      </c>
      <c r="J181">
        <v>43257</v>
      </c>
      <c r="K181" t="s">
        <v>149</v>
      </c>
    </row>
    <row r="182" spans="1:20" x14ac:dyDescent="0.35">
      <c r="A182" t="s">
        <v>185</v>
      </c>
      <c r="B182" t="s">
        <v>200</v>
      </c>
      <c r="C182" t="s">
        <v>180</v>
      </c>
      <c r="D182" t="s">
        <v>155</v>
      </c>
      <c r="G182">
        <v>278</v>
      </c>
      <c r="H182">
        <v>43238</v>
      </c>
      <c r="I182">
        <v>43244</v>
      </c>
      <c r="J182">
        <v>43257</v>
      </c>
      <c r="K182" t="s">
        <v>149</v>
      </c>
      <c r="L182">
        <v>43334</v>
      </c>
    </row>
    <row r="183" spans="1:20" x14ac:dyDescent="0.35">
      <c r="A183" t="s">
        <v>30</v>
      </c>
      <c r="B183" t="s">
        <v>200</v>
      </c>
      <c r="C183" t="s">
        <v>180</v>
      </c>
      <c r="D183" t="s">
        <v>155</v>
      </c>
      <c r="F183">
        <f>G183*2</f>
        <v>11598</v>
      </c>
      <c r="G183">
        <v>5799</v>
      </c>
      <c r="H183">
        <v>43238</v>
      </c>
      <c r="I183">
        <v>43244</v>
      </c>
      <c r="J183">
        <v>43257</v>
      </c>
      <c r="K183" t="s">
        <v>149</v>
      </c>
      <c r="L183">
        <v>43269</v>
      </c>
      <c r="M183" t="s">
        <v>168</v>
      </c>
      <c r="N183">
        <v>43190</v>
      </c>
      <c r="O183">
        <v>9872</v>
      </c>
      <c r="P183">
        <v>43205</v>
      </c>
      <c r="Q183">
        <v>43205</v>
      </c>
      <c r="R183">
        <v>11026</v>
      </c>
      <c r="S183">
        <v>51708293</v>
      </c>
      <c r="T183">
        <v>43278</v>
      </c>
    </row>
    <row r="184" spans="1:20" x14ac:dyDescent="0.35">
      <c r="A184" t="s">
        <v>190</v>
      </c>
      <c r="B184" t="s">
        <v>200</v>
      </c>
      <c r="C184" t="s">
        <v>180</v>
      </c>
      <c r="D184" t="s">
        <v>155</v>
      </c>
      <c r="F184">
        <f>G184*2</f>
        <v>3710</v>
      </c>
      <c r="G184">
        <v>1855</v>
      </c>
      <c r="H184">
        <v>43265</v>
      </c>
      <c r="I184">
        <v>43269</v>
      </c>
    </row>
    <row r="185" spans="1:20" x14ac:dyDescent="0.35">
      <c r="A185" t="s">
        <v>161</v>
      </c>
      <c r="B185" t="s">
        <v>200</v>
      </c>
      <c r="C185" t="s">
        <v>180</v>
      </c>
      <c r="D185" t="s">
        <v>155</v>
      </c>
      <c r="F185">
        <v>0</v>
      </c>
      <c r="G185" t="s">
        <v>153</v>
      </c>
      <c r="H185">
        <v>43238</v>
      </c>
      <c r="I185">
        <v>43244</v>
      </c>
    </row>
    <row r="186" spans="1:20" x14ac:dyDescent="0.35">
      <c r="A186" t="s">
        <v>162</v>
      </c>
      <c r="B186" t="s">
        <v>200</v>
      </c>
      <c r="C186" t="s">
        <v>180</v>
      </c>
      <c r="D186" t="s">
        <v>155</v>
      </c>
      <c r="F186">
        <v>5618</v>
      </c>
      <c r="G186">
        <v>3371</v>
      </c>
      <c r="H186">
        <v>43238</v>
      </c>
      <c r="I186">
        <v>43244</v>
      </c>
      <c r="J186">
        <v>43257</v>
      </c>
      <c r="K186" t="s">
        <v>149</v>
      </c>
      <c r="L186">
        <v>43269</v>
      </c>
    </row>
    <row r="187" spans="1:20" x14ac:dyDescent="0.35">
      <c r="A187" t="s">
        <v>82</v>
      </c>
      <c r="B187" t="s">
        <v>200</v>
      </c>
      <c r="C187" t="s">
        <v>180</v>
      </c>
      <c r="D187" t="s">
        <v>155</v>
      </c>
      <c r="F187">
        <f>G187*2</f>
        <v>3960</v>
      </c>
      <c r="G187">
        <v>1980</v>
      </c>
      <c r="H187">
        <v>43238</v>
      </c>
      <c r="I187">
        <v>43244</v>
      </c>
      <c r="J187">
        <v>43257</v>
      </c>
      <c r="K187" t="s">
        <v>149</v>
      </c>
      <c r="L187">
        <v>43328</v>
      </c>
    </row>
    <row r="188" spans="1:20" x14ac:dyDescent="0.35">
      <c r="A188" t="s">
        <v>193</v>
      </c>
      <c r="B188" t="s">
        <v>200</v>
      </c>
      <c r="C188" t="s">
        <v>180</v>
      </c>
      <c r="D188" t="s">
        <v>155</v>
      </c>
      <c r="F188">
        <f>G188*2</f>
        <v>180</v>
      </c>
      <c r="G188">
        <v>90</v>
      </c>
      <c r="H188">
        <v>43238</v>
      </c>
      <c r="I188">
        <v>43244</v>
      </c>
      <c r="J188">
        <v>43257</v>
      </c>
      <c r="K188" t="s">
        <v>149</v>
      </c>
      <c r="L188">
        <v>43334</v>
      </c>
    </row>
    <row r="189" spans="1:20" x14ac:dyDescent="0.35">
      <c r="A189" t="s">
        <v>134</v>
      </c>
      <c r="B189" t="s">
        <v>200</v>
      </c>
      <c r="C189" t="s">
        <v>180</v>
      </c>
      <c r="D189" t="s">
        <v>155</v>
      </c>
      <c r="F189">
        <f>G189*2</f>
        <v>32</v>
      </c>
      <c r="G189">
        <v>16</v>
      </c>
      <c r="H189">
        <v>43238</v>
      </c>
      <c r="I189">
        <v>43244</v>
      </c>
    </row>
    <row r="190" spans="1:20" x14ac:dyDescent="0.35">
      <c r="A190" t="s">
        <v>134</v>
      </c>
      <c r="B190" t="s">
        <v>200</v>
      </c>
      <c r="C190" t="s">
        <v>180</v>
      </c>
      <c r="D190" t="s">
        <v>155</v>
      </c>
      <c r="F190">
        <f>G190*2</f>
        <v>32</v>
      </c>
      <c r="G190">
        <v>16</v>
      </c>
      <c r="H190">
        <v>43238</v>
      </c>
      <c r="I190">
        <v>43244</v>
      </c>
    </row>
    <row r="191" spans="1:20" x14ac:dyDescent="0.35">
      <c r="A191" t="s">
        <v>150</v>
      </c>
      <c r="B191" t="s">
        <v>201</v>
      </c>
      <c r="C191" t="s">
        <v>132</v>
      </c>
      <c r="D191" t="s">
        <v>123</v>
      </c>
      <c r="F191">
        <v>3</v>
      </c>
      <c r="G191">
        <f>F191/2</f>
        <v>1.5</v>
      </c>
      <c r="H191">
        <v>43242</v>
      </c>
      <c r="I191">
        <v>43244</v>
      </c>
      <c r="J191">
        <v>43257</v>
      </c>
      <c r="K191" t="s">
        <v>149</v>
      </c>
    </row>
    <row r="192" spans="1:20" x14ac:dyDescent="0.35">
      <c r="A192" t="s">
        <v>160</v>
      </c>
      <c r="B192" t="s">
        <v>201</v>
      </c>
      <c r="C192" t="s">
        <v>173</v>
      </c>
      <c r="D192" t="s">
        <v>155</v>
      </c>
      <c r="F192">
        <v>256</v>
      </c>
      <c r="G192" t="s">
        <v>153</v>
      </c>
      <c r="H192">
        <v>43243</v>
      </c>
      <c r="I192">
        <v>43244</v>
      </c>
    </row>
    <row r="193" spans="1:12" x14ac:dyDescent="0.35">
      <c r="A193" t="s">
        <v>120</v>
      </c>
      <c r="B193" t="s">
        <v>200</v>
      </c>
      <c r="C193" t="s">
        <v>127</v>
      </c>
      <c r="D193" t="s">
        <v>128</v>
      </c>
      <c r="F193">
        <v>478</v>
      </c>
      <c r="G193" t="s">
        <v>153</v>
      </c>
      <c r="H193">
        <v>43262</v>
      </c>
      <c r="I193">
        <v>43264</v>
      </c>
    </row>
    <row r="194" spans="1:12" x14ac:dyDescent="0.35">
      <c r="A194" t="s">
        <v>151</v>
      </c>
      <c r="B194" t="s">
        <v>200</v>
      </c>
      <c r="C194" t="s">
        <v>127</v>
      </c>
      <c r="D194" t="s">
        <v>128</v>
      </c>
      <c r="F194">
        <v>201</v>
      </c>
      <c r="G194">
        <v>121</v>
      </c>
      <c r="H194">
        <v>43262</v>
      </c>
      <c r="I194">
        <v>43264</v>
      </c>
    </row>
    <row r="195" spans="1:12" x14ac:dyDescent="0.35">
      <c r="A195" t="s">
        <v>150</v>
      </c>
      <c r="B195" t="s">
        <v>200</v>
      </c>
      <c r="C195" t="s">
        <v>127</v>
      </c>
      <c r="D195" t="s">
        <v>128</v>
      </c>
      <c r="F195">
        <v>137</v>
      </c>
      <c r="G195">
        <v>69</v>
      </c>
      <c r="H195">
        <v>43262</v>
      </c>
      <c r="I195">
        <v>43264</v>
      </c>
      <c r="J195">
        <v>43300</v>
      </c>
      <c r="K195" t="s">
        <v>202</v>
      </c>
    </row>
    <row r="196" spans="1:12" x14ac:dyDescent="0.35">
      <c r="A196" t="s">
        <v>78</v>
      </c>
      <c r="B196" t="s">
        <v>200</v>
      </c>
      <c r="C196" t="s">
        <v>127</v>
      </c>
      <c r="D196" t="s">
        <v>128</v>
      </c>
      <c r="F196">
        <f>G196*2</f>
        <v>334</v>
      </c>
      <c r="G196">
        <v>167</v>
      </c>
      <c r="H196">
        <v>43262</v>
      </c>
      <c r="I196">
        <v>43264</v>
      </c>
      <c r="J196">
        <v>43300</v>
      </c>
      <c r="K196" t="s">
        <v>202</v>
      </c>
    </row>
    <row r="197" spans="1:12" x14ac:dyDescent="0.35">
      <c r="A197" t="s">
        <v>190</v>
      </c>
      <c r="B197" t="s">
        <v>200</v>
      </c>
      <c r="C197" t="s">
        <v>127</v>
      </c>
      <c r="D197" t="s">
        <v>128</v>
      </c>
      <c r="F197">
        <f>G197*2</f>
        <v>902</v>
      </c>
      <c r="G197">
        <v>451</v>
      </c>
      <c r="H197">
        <v>43262</v>
      </c>
      <c r="I197">
        <v>43264</v>
      </c>
    </row>
    <row r="198" spans="1:12" x14ac:dyDescent="0.35">
      <c r="A198" t="s">
        <v>82</v>
      </c>
      <c r="B198" t="s">
        <v>200</v>
      </c>
      <c r="C198" t="s">
        <v>127</v>
      </c>
      <c r="D198" t="s">
        <v>128</v>
      </c>
      <c r="F198">
        <f>G198*2</f>
        <v>18</v>
      </c>
      <c r="G198">
        <v>9</v>
      </c>
      <c r="H198">
        <v>43262</v>
      </c>
      <c r="I198">
        <v>43264</v>
      </c>
      <c r="J198">
        <v>43300</v>
      </c>
      <c r="K198" t="s">
        <v>202</v>
      </c>
      <c r="L198">
        <v>43328</v>
      </c>
    </row>
    <row r="199" spans="1:12" x14ac:dyDescent="0.35">
      <c r="A199" t="s">
        <v>157</v>
      </c>
      <c r="B199" t="s">
        <v>203</v>
      </c>
      <c r="C199" t="s">
        <v>127</v>
      </c>
      <c r="D199" t="s">
        <v>155</v>
      </c>
      <c r="F199">
        <v>46036</v>
      </c>
      <c r="G199" t="s">
        <v>153</v>
      </c>
      <c r="H199">
        <v>43287</v>
      </c>
      <c r="I199">
        <v>43293</v>
      </c>
    </row>
    <row r="200" spans="1:12" x14ac:dyDescent="0.35">
      <c r="A200" t="s">
        <v>152</v>
      </c>
      <c r="B200" t="s">
        <v>203</v>
      </c>
      <c r="C200" t="s">
        <v>127</v>
      </c>
      <c r="D200" t="s">
        <v>155</v>
      </c>
      <c r="F200">
        <v>19398</v>
      </c>
      <c r="G200" t="s">
        <v>153</v>
      </c>
      <c r="H200">
        <v>43287</v>
      </c>
      <c r="I200">
        <v>43293</v>
      </c>
    </row>
    <row r="201" spans="1:12" x14ac:dyDescent="0.35">
      <c r="A201" t="s">
        <v>158</v>
      </c>
      <c r="B201" t="s">
        <v>203</v>
      </c>
      <c r="C201" t="s">
        <v>127</v>
      </c>
      <c r="D201" t="s">
        <v>155</v>
      </c>
      <c r="F201">
        <v>34292</v>
      </c>
      <c r="G201" t="s">
        <v>153</v>
      </c>
      <c r="H201">
        <v>43287</v>
      </c>
      <c r="I201">
        <v>43293</v>
      </c>
    </row>
    <row r="202" spans="1:12" x14ac:dyDescent="0.35">
      <c r="A202" t="s">
        <v>159</v>
      </c>
      <c r="B202" t="s">
        <v>203</v>
      </c>
      <c r="C202" t="s">
        <v>127</v>
      </c>
      <c r="D202" t="s">
        <v>155</v>
      </c>
      <c r="F202">
        <v>5041</v>
      </c>
      <c r="G202" t="s">
        <v>153</v>
      </c>
      <c r="H202">
        <v>43287</v>
      </c>
      <c r="I202">
        <v>43293</v>
      </c>
    </row>
    <row r="203" spans="1:12" x14ac:dyDescent="0.35">
      <c r="A203" t="s">
        <v>160</v>
      </c>
      <c r="B203" t="s">
        <v>203</v>
      </c>
      <c r="C203" t="s">
        <v>127</v>
      </c>
      <c r="D203" t="s">
        <v>155</v>
      </c>
      <c r="F203">
        <v>46</v>
      </c>
      <c r="G203" t="s">
        <v>153</v>
      </c>
      <c r="H203">
        <v>43287</v>
      </c>
      <c r="I203">
        <v>43293</v>
      </c>
    </row>
    <row r="204" spans="1:12" x14ac:dyDescent="0.35">
      <c r="A204" t="s">
        <v>120</v>
      </c>
      <c r="B204" t="s">
        <v>203</v>
      </c>
      <c r="C204" t="s">
        <v>127</v>
      </c>
      <c r="D204" t="s">
        <v>155</v>
      </c>
      <c r="F204">
        <v>643</v>
      </c>
      <c r="G204" t="s">
        <v>153</v>
      </c>
      <c r="H204">
        <v>43287</v>
      </c>
      <c r="I204">
        <v>43293</v>
      </c>
    </row>
    <row r="205" spans="1:12" x14ac:dyDescent="0.35">
      <c r="A205" t="s">
        <v>161</v>
      </c>
      <c r="B205" t="s">
        <v>203</v>
      </c>
      <c r="C205" t="s">
        <v>127</v>
      </c>
      <c r="D205" t="s">
        <v>155</v>
      </c>
      <c r="F205">
        <v>0</v>
      </c>
      <c r="G205" t="s">
        <v>153</v>
      </c>
      <c r="H205">
        <v>43287</v>
      </c>
      <c r="I205">
        <v>43293</v>
      </c>
    </row>
    <row r="206" spans="1:12" x14ac:dyDescent="0.35">
      <c r="A206" t="s">
        <v>151</v>
      </c>
      <c r="B206" t="s">
        <v>203</v>
      </c>
      <c r="C206" t="s">
        <v>127</v>
      </c>
      <c r="D206" t="s">
        <v>155</v>
      </c>
      <c r="F206">
        <v>473384.14202078944</v>
      </c>
      <c r="G206">
        <v>284030.48521247425</v>
      </c>
      <c r="H206">
        <v>43287</v>
      </c>
      <c r="I206">
        <v>43293</v>
      </c>
    </row>
    <row r="207" spans="1:12" x14ac:dyDescent="0.35">
      <c r="A207" t="s">
        <v>183</v>
      </c>
      <c r="B207" t="s">
        <v>203</v>
      </c>
      <c r="C207" t="s">
        <v>127</v>
      </c>
      <c r="D207" t="s">
        <v>155</v>
      </c>
      <c r="F207">
        <v>245828</v>
      </c>
      <c r="G207" t="s">
        <v>153</v>
      </c>
      <c r="H207">
        <v>43287</v>
      </c>
      <c r="I207">
        <v>43293</v>
      </c>
    </row>
    <row r="208" spans="1:12" x14ac:dyDescent="0.35">
      <c r="A208" t="s">
        <v>189</v>
      </c>
      <c r="B208" t="s">
        <v>203</v>
      </c>
      <c r="C208" t="s">
        <v>127</v>
      </c>
      <c r="D208" t="s">
        <v>155</v>
      </c>
      <c r="G208">
        <v>61464</v>
      </c>
      <c r="H208">
        <v>43287</v>
      </c>
      <c r="I208">
        <v>43293</v>
      </c>
    </row>
    <row r="209" spans="1:12" x14ac:dyDescent="0.35">
      <c r="A209" t="s">
        <v>186</v>
      </c>
      <c r="B209" t="s">
        <v>203</v>
      </c>
      <c r="C209" t="s">
        <v>127</v>
      </c>
      <c r="D209" t="s">
        <v>155</v>
      </c>
      <c r="F209">
        <v>40</v>
      </c>
      <c r="G209">
        <v>20</v>
      </c>
      <c r="H209">
        <v>43287</v>
      </c>
      <c r="I209">
        <v>43293</v>
      </c>
      <c r="J209">
        <v>43346</v>
      </c>
      <c r="K209" t="s">
        <v>204</v>
      </c>
    </row>
    <row r="210" spans="1:12" x14ac:dyDescent="0.35">
      <c r="A210" t="s">
        <v>185</v>
      </c>
      <c r="B210" t="s">
        <v>203</v>
      </c>
      <c r="C210" t="s">
        <v>127</v>
      </c>
      <c r="D210" t="s">
        <v>155</v>
      </c>
      <c r="G210">
        <v>204</v>
      </c>
      <c r="H210">
        <v>43287</v>
      </c>
      <c r="I210">
        <v>43293</v>
      </c>
      <c r="J210">
        <v>43346</v>
      </c>
      <c r="K210" t="s">
        <v>204</v>
      </c>
      <c r="L210">
        <v>43334</v>
      </c>
    </row>
    <row r="211" spans="1:12" x14ac:dyDescent="0.35">
      <c r="A211" t="s">
        <v>30</v>
      </c>
      <c r="B211" t="s">
        <v>203</v>
      </c>
      <c r="C211" t="s">
        <v>127</v>
      </c>
      <c r="D211" t="s">
        <v>155</v>
      </c>
      <c r="F211">
        <f>G211*2</f>
        <v>9698</v>
      </c>
      <c r="G211">
        <v>4849</v>
      </c>
      <c r="H211">
        <v>43287</v>
      </c>
      <c r="I211">
        <v>43293</v>
      </c>
      <c r="J211">
        <v>43346</v>
      </c>
      <c r="K211" t="s">
        <v>204</v>
      </c>
      <c r="L211">
        <v>43493</v>
      </c>
    </row>
    <row r="212" spans="1:12" x14ac:dyDescent="0.35">
      <c r="A212" t="s">
        <v>78</v>
      </c>
      <c r="B212" t="s">
        <v>203</v>
      </c>
      <c r="C212" t="s">
        <v>127</v>
      </c>
      <c r="D212" t="s">
        <v>155</v>
      </c>
      <c r="F212">
        <f>G212*2</f>
        <v>1884</v>
      </c>
      <c r="G212">
        <v>942</v>
      </c>
      <c r="H212">
        <v>43287</v>
      </c>
      <c r="I212">
        <v>43293</v>
      </c>
    </row>
    <row r="213" spans="1:12" x14ac:dyDescent="0.35">
      <c r="A213" t="s">
        <v>190</v>
      </c>
      <c r="B213" t="s">
        <v>203</v>
      </c>
      <c r="C213" t="s">
        <v>127</v>
      </c>
      <c r="D213" t="s">
        <v>155</v>
      </c>
      <c r="F213">
        <f>G213*2</f>
        <v>6724</v>
      </c>
      <c r="G213">
        <v>3362</v>
      </c>
      <c r="H213">
        <v>43287</v>
      </c>
      <c r="I213">
        <v>43293</v>
      </c>
      <c r="J213">
        <v>43501</v>
      </c>
      <c r="K213" t="s">
        <v>205</v>
      </c>
      <c r="L213">
        <v>43501</v>
      </c>
    </row>
    <row r="214" spans="1:12" x14ac:dyDescent="0.35">
      <c r="A214" t="s">
        <v>162</v>
      </c>
      <c r="B214" t="s">
        <v>203</v>
      </c>
      <c r="C214" t="s">
        <v>127</v>
      </c>
      <c r="D214" t="s">
        <v>155</v>
      </c>
      <c r="F214">
        <v>15110</v>
      </c>
      <c r="G214">
        <v>9066</v>
      </c>
      <c r="H214">
        <v>43287</v>
      </c>
      <c r="I214">
        <v>43293</v>
      </c>
      <c r="J214">
        <v>43346</v>
      </c>
      <c r="K214" t="s">
        <v>204</v>
      </c>
      <c r="L214">
        <v>43493</v>
      </c>
    </row>
    <row r="215" spans="1:12" x14ac:dyDescent="0.35">
      <c r="A215" t="s">
        <v>82</v>
      </c>
      <c r="B215" t="s">
        <v>203</v>
      </c>
      <c r="C215" t="s">
        <v>127</v>
      </c>
      <c r="D215" t="s">
        <v>155</v>
      </c>
      <c r="F215">
        <f>G215*2</f>
        <v>13362</v>
      </c>
      <c r="G215">
        <v>6681</v>
      </c>
      <c r="H215">
        <v>43287</v>
      </c>
      <c r="I215">
        <v>43293</v>
      </c>
      <c r="J215">
        <v>43346</v>
      </c>
      <c r="K215" t="s">
        <v>204</v>
      </c>
      <c r="L215">
        <v>43451</v>
      </c>
    </row>
    <row r="216" spans="1:12" x14ac:dyDescent="0.35">
      <c r="A216" t="s">
        <v>193</v>
      </c>
      <c r="B216" t="s">
        <v>203</v>
      </c>
      <c r="C216" t="s">
        <v>127</v>
      </c>
      <c r="D216" t="s">
        <v>155</v>
      </c>
      <c r="F216">
        <f>G216*2</f>
        <v>44</v>
      </c>
      <c r="G216">
        <v>22</v>
      </c>
      <c r="H216">
        <v>43287</v>
      </c>
      <c r="I216">
        <v>43293</v>
      </c>
      <c r="J216">
        <v>43346</v>
      </c>
      <c r="K216" t="s">
        <v>204</v>
      </c>
      <c r="L216">
        <v>43334</v>
      </c>
    </row>
    <row r="217" spans="1:12" x14ac:dyDescent="0.35">
      <c r="A217" t="s">
        <v>160</v>
      </c>
      <c r="B217" t="s">
        <v>203</v>
      </c>
      <c r="C217" t="s">
        <v>132</v>
      </c>
      <c r="D217" t="s">
        <v>123</v>
      </c>
      <c r="F217">
        <v>30</v>
      </c>
      <c r="G217" t="s">
        <v>153</v>
      </c>
      <c r="H217">
        <v>43313</v>
      </c>
      <c r="I217">
        <v>43313</v>
      </c>
    </row>
    <row r="218" spans="1:12" x14ac:dyDescent="0.35">
      <c r="A218" t="s">
        <v>120</v>
      </c>
      <c r="B218" t="s">
        <v>203</v>
      </c>
      <c r="C218" t="s">
        <v>132</v>
      </c>
      <c r="D218" t="s">
        <v>123</v>
      </c>
      <c r="F218">
        <v>30</v>
      </c>
      <c r="G218" t="s">
        <v>153</v>
      </c>
      <c r="H218">
        <v>43313</v>
      </c>
      <c r="I218">
        <v>43313</v>
      </c>
    </row>
    <row r="219" spans="1:12" x14ac:dyDescent="0.35">
      <c r="A219" t="s">
        <v>206</v>
      </c>
      <c r="B219" t="s">
        <v>207</v>
      </c>
      <c r="C219" t="s">
        <v>127</v>
      </c>
      <c r="F219">
        <v>13</v>
      </c>
      <c r="G219">
        <v>6</v>
      </c>
      <c r="H219">
        <v>43336</v>
      </c>
      <c r="I219">
        <v>43341</v>
      </c>
      <c r="J219">
        <v>43367</v>
      </c>
      <c r="K219" t="s">
        <v>204</v>
      </c>
      <c r="L219">
        <v>43425</v>
      </c>
    </row>
    <row r="220" spans="1:12" x14ac:dyDescent="0.35">
      <c r="A220" t="s">
        <v>208</v>
      </c>
      <c r="B220" t="s">
        <v>207</v>
      </c>
      <c r="C220" t="s">
        <v>127</v>
      </c>
      <c r="F220">
        <f t="shared" ref="F220:F225" si="0">G220*2</f>
        <v>112</v>
      </c>
      <c r="G220">
        <v>56</v>
      </c>
      <c r="H220">
        <v>43336</v>
      </c>
      <c r="I220">
        <v>43341</v>
      </c>
      <c r="J220">
        <v>43367</v>
      </c>
      <c r="K220" t="s">
        <v>204</v>
      </c>
    </row>
    <row r="221" spans="1:12" x14ac:dyDescent="0.35">
      <c r="A221" t="s">
        <v>209</v>
      </c>
      <c r="B221" t="s">
        <v>207</v>
      </c>
      <c r="C221" t="s">
        <v>127</v>
      </c>
      <c r="F221">
        <f t="shared" si="0"/>
        <v>358</v>
      </c>
      <c r="G221">
        <v>179</v>
      </c>
      <c r="H221">
        <v>43336</v>
      </c>
      <c r="I221">
        <v>43341</v>
      </c>
      <c r="J221">
        <v>43367</v>
      </c>
      <c r="K221" t="s">
        <v>204</v>
      </c>
    </row>
    <row r="222" spans="1:12" x14ac:dyDescent="0.35">
      <c r="A222" t="s">
        <v>210</v>
      </c>
      <c r="B222" t="s">
        <v>207</v>
      </c>
      <c r="C222" t="s">
        <v>127</v>
      </c>
      <c r="F222">
        <f t="shared" si="0"/>
        <v>158</v>
      </c>
      <c r="G222">
        <v>79</v>
      </c>
      <c r="H222">
        <v>43336</v>
      </c>
      <c r="I222">
        <v>43341</v>
      </c>
      <c r="J222">
        <v>43367</v>
      </c>
      <c r="K222" t="s">
        <v>204</v>
      </c>
    </row>
    <row r="223" spans="1:12" x14ac:dyDescent="0.35">
      <c r="A223" t="s">
        <v>211</v>
      </c>
      <c r="B223" t="s">
        <v>207</v>
      </c>
      <c r="C223" t="s">
        <v>127</v>
      </c>
      <c r="F223">
        <f t="shared" si="0"/>
        <v>400</v>
      </c>
      <c r="G223">
        <v>200</v>
      </c>
      <c r="H223">
        <v>43336</v>
      </c>
      <c r="I223">
        <v>43341</v>
      </c>
      <c r="J223">
        <v>43367</v>
      </c>
      <c r="K223" t="s">
        <v>204</v>
      </c>
      <c r="L223">
        <v>43437</v>
      </c>
    </row>
    <row r="224" spans="1:12" x14ac:dyDescent="0.35">
      <c r="A224" t="s">
        <v>212</v>
      </c>
      <c r="B224" t="s">
        <v>207</v>
      </c>
      <c r="C224" t="s">
        <v>127</v>
      </c>
      <c r="F224">
        <f t="shared" si="0"/>
        <v>1220</v>
      </c>
      <c r="G224">
        <v>610</v>
      </c>
      <c r="H224">
        <v>43336</v>
      </c>
      <c r="I224">
        <v>43341</v>
      </c>
      <c r="J224">
        <v>43367</v>
      </c>
      <c r="K224" t="s">
        <v>204</v>
      </c>
    </row>
    <row r="225" spans="1:12" x14ac:dyDescent="0.35">
      <c r="A225" t="s">
        <v>213</v>
      </c>
      <c r="B225" t="s">
        <v>207</v>
      </c>
      <c r="C225" t="s">
        <v>127</v>
      </c>
      <c r="F225">
        <f t="shared" si="0"/>
        <v>16</v>
      </c>
      <c r="G225">
        <v>8</v>
      </c>
      <c r="H225">
        <v>43336</v>
      </c>
      <c r="I225">
        <v>43341</v>
      </c>
      <c r="J225">
        <v>43367</v>
      </c>
      <c r="K225" t="s">
        <v>204</v>
      </c>
      <c r="L225">
        <v>43437</v>
      </c>
    </row>
    <row r="226" spans="1:12" x14ac:dyDescent="0.35">
      <c r="A226" t="s">
        <v>214</v>
      </c>
      <c r="B226" t="s">
        <v>207</v>
      </c>
      <c r="C226" t="s">
        <v>127</v>
      </c>
      <c r="F226">
        <v>19</v>
      </c>
      <c r="G226">
        <v>8</v>
      </c>
      <c r="H226">
        <v>43336</v>
      </c>
      <c r="I226">
        <v>43341</v>
      </c>
      <c r="J226">
        <v>43367</v>
      </c>
      <c r="K226" t="s">
        <v>204</v>
      </c>
    </row>
    <row r="227" spans="1:12" x14ac:dyDescent="0.35">
      <c r="A227" t="s">
        <v>215</v>
      </c>
      <c r="B227" t="s">
        <v>207</v>
      </c>
      <c r="C227" t="s">
        <v>127</v>
      </c>
      <c r="F227">
        <v>4</v>
      </c>
      <c r="G227">
        <v>2</v>
      </c>
      <c r="H227">
        <v>43336</v>
      </c>
      <c r="I227">
        <v>43341</v>
      </c>
      <c r="J227">
        <v>43367</v>
      </c>
      <c r="K227" t="s">
        <v>204</v>
      </c>
    </row>
    <row r="228" spans="1:12" x14ac:dyDescent="0.35">
      <c r="A228" t="s">
        <v>157</v>
      </c>
      <c r="B228" t="s">
        <v>216</v>
      </c>
      <c r="C228" t="s">
        <v>217</v>
      </c>
      <c r="D228" t="s">
        <v>155</v>
      </c>
      <c r="F228">
        <v>78824</v>
      </c>
      <c r="G228" t="s">
        <v>153</v>
      </c>
      <c r="H228">
        <v>43369</v>
      </c>
      <c r="I228">
        <v>43374</v>
      </c>
    </row>
    <row r="229" spans="1:12" x14ac:dyDescent="0.35">
      <c r="A229" t="s">
        <v>152</v>
      </c>
      <c r="B229" t="s">
        <v>216</v>
      </c>
      <c r="C229" t="s">
        <v>217</v>
      </c>
      <c r="D229" t="s">
        <v>155</v>
      </c>
      <c r="F229">
        <v>30002</v>
      </c>
      <c r="G229" t="s">
        <v>153</v>
      </c>
      <c r="H229">
        <v>43369</v>
      </c>
      <c r="I229">
        <v>43374</v>
      </c>
    </row>
    <row r="230" spans="1:12" x14ac:dyDescent="0.35">
      <c r="A230" t="s">
        <v>185</v>
      </c>
      <c r="B230" t="s">
        <v>216</v>
      </c>
      <c r="C230" t="s">
        <v>127</v>
      </c>
      <c r="D230" t="s">
        <v>155</v>
      </c>
      <c r="G230">
        <v>4</v>
      </c>
      <c r="H230">
        <v>43369</v>
      </c>
      <c r="I230">
        <v>43374</v>
      </c>
      <c r="J230">
        <v>43395</v>
      </c>
      <c r="K230" t="s">
        <v>218</v>
      </c>
    </row>
    <row r="231" spans="1:12" x14ac:dyDescent="0.35">
      <c r="A231" t="s">
        <v>158</v>
      </c>
      <c r="B231" t="s">
        <v>216</v>
      </c>
      <c r="C231" t="s">
        <v>217</v>
      </c>
      <c r="D231" t="s">
        <v>155</v>
      </c>
      <c r="F231">
        <v>20501</v>
      </c>
      <c r="G231" t="s">
        <v>153</v>
      </c>
      <c r="H231">
        <v>43369</v>
      </c>
      <c r="I231">
        <v>43374</v>
      </c>
    </row>
    <row r="232" spans="1:12" x14ac:dyDescent="0.35">
      <c r="A232" t="s">
        <v>159</v>
      </c>
      <c r="B232" t="s">
        <v>216</v>
      </c>
      <c r="C232" t="s">
        <v>217</v>
      </c>
      <c r="D232" t="s">
        <v>155</v>
      </c>
      <c r="F232">
        <v>76639</v>
      </c>
      <c r="G232" t="s">
        <v>153</v>
      </c>
      <c r="H232">
        <v>43369</v>
      </c>
      <c r="I232">
        <v>43374</v>
      </c>
    </row>
    <row r="233" spans="1:12" x14ac:dyDescent="0.35">
      <c r="A233" t="s">
        <v>30</v>
      </c>
      <c r="B233" t="s">
        <v>216</v>
      </c>
      <c r="C233" t="s">
        <v>217</v>
      </c>
      <c r="D233" t="s">
        <v>155</v>
      </c>
      <c r="F233">
        <f>G233*2</f>
        <v>15968</v>
      </c>
      <c r="G233">
        <v>7984</v>
      </c>
      <c r="H233">
        <v>43369</v>
      </c>
      <c r="I233">
        <v>43374</v>
      </c>
      <c r="J233">
        <v>43395</v>
      </c>
      <c r="K233" t="s">
        <v>218</v>
      </c>
      <c r="L233">
        <v>43493</v>
      </c>
    </row>
    <row r="234" spans="1:12" x14ac:dyDescent="0.35">
      <c r="A234" t="s">
        <v>78</v>
      </c>
      <c r="B234" t="s">
        <v>216</v>
      </c>
      <c r="C234" t="s">
        <v>217</v>
      </c>
      <c r="D234" t="s">
        <v>155</v>
      </c>
      <c r="F234">
        <f>G234*2</f>
        <v>6032</v>
      </c>
      <c r="G234">
        <v>3016</v>
      </c>
      <c r="H234">
        <v>43369</v>
      </c>
      <c r="I234">
        <v>43374</v>
      </c>
    </row>
    <row r="235" spans="1:12" x14ac:dyDescent="0.35">
      <c r="A235" t="s">
        <v>160</v>
      </c>
      <c r="B235" t="s">
        <v>216</v>
      </c>
      <c r="C235" t="s">
        <v>217</v>
      </c>
      <c r="D235" t="s">
        <v>155</v>
      </c>
      <c r="F235">
        <v>6</v>
      </c>
      <c r="G235" t="s">
        <v>153</v>
      </c>
      <c r="H235">
        <v>43369</v>
      </c>
      <c r="I235">
        <v>43374</v>
      </c>
    </row>
    <row r="236" spans="1:12" x14ac:dyDescent="0.35">
      <c r="A236" t="s">
        <v>190</v>
      </c>
      <c r="B236" t="s">
        <v>216</v>
      </c>
      <c r="C236" t="s">
        <v>217</v>
      </c>
      <c r="D236" t="s">
        <v>155</v>
      </c>
      <c r="F236">
        <f>G236*2</f>
        <v>10208</v>
      </c>
      <c r="G236">
        <v>5104</v>
      </c>
      <c r="H236">
        <v>43369</v>
      </c>
      <c r="I236">
        <v>43374</v>
      </c>
      <c r="J236">
        <v>43501</v>
      </c>
      <c r="K236" t="s">
        <v>205</v>
      </c>
      <c r="L236">
        <v>43501</v>
      </c>
    </row>
    <row r="237" spans="1:12" x14ac:dyDescent="0.35">
      <c r="A237" t="s">
        <v>162</v>
      </c>
      <c r="B237" t="s">
        <v>216</v>
      </c>
      <c r="C237" t="s">
        <v>217</v>
      </c>
      <c r="D237" t="s">
        <v>155</v>
      </c>
      <c r="F237">
        <v>21412</v>
      </c>
      <c r="G237">
        <v>12847</v>
      </c>
      <c r="H237">
        <v>43369</v>
      </c>
      <c r="I237">
        <v>43374</v>
      </c>
      <c r="J237">
        <v>43395</v>
      </c>
      <c r="K237" t="s">
        <v>218</v>
      </c>
      <c r="L237">
        <v>43493</v>
      </c>
    </row>
    <row r="238" spans="1:12" x14ac:dyDescent="0.35">
      <c r="A238" t="s">
        <v>82</v>
      </c>
      <c r="B238" t="s">
        <v>216</v>
      </c>
      <c r="C238" t="s">
        <v>217</v>
      </c>
      <c r="D238" t="s">
        <v>155</v>
      </c>
      <c r="F238">
        <f>G238*2</f>
        <v>83866</v>
      </c>
      <c r="G238">
        <v>41933</v>
      </c>
      <c r="H238">
        <v>43369</v>
      </c>
      <c r="I238">
        <v>43374</v>
      </c>
      <c r="J238">
        <v>43395</v>
      </c>
      <c r="K238" t="s">
        <v>218</v>
      </c>
      <c r="L238">
        <v>43451</v>
      </c>
    </row>
    <row r="239" spans="1:12" x14ac:dyDescent="0.35">
      <c r="A239" t="s">
        <v>151</v>
      </c>
      <c r="B239" t="s">
        <v>216</v>
      </c>
      <c r="C239" t="s">
        <v>217</v>
      </c>
      <c r="D239" t="s">
        <v>155</v>
      </c>
      <c r="F239">
        <v>1820805.5806167277</v>
      </c>
      <c r="G239">
        <v>1092483.348370038</v>
      </c>
      <c r="H239">
        <v>43369</v>
      </c>
      <c r="I239">
        <v>43374</v>
      </c>
    </row>
    <row r="240" spans="1:12" x14ac:dyDescent="0.35">
      <c r="A240" t="s">
        <v>183</v>
      </c>
      <c r="B240" t="s">
        <v>216</v>
      </c>
      <c r="C240" t="s">
        <v>217</v>
      </c>
      <c r="D240" t="s">
        <v>155</v>
      </c>
      <c r="F240">
        <v>630592</v>
      </c>
      <c r="G240" t="s">
        <v>153</v>
      </c>
      <c r="H240">
        <v>43369</v>
      </c>
      <c r="I240">
        <v>43374</v>
      </c>
    </row>
    <row r="241" spans="1:17" x14ac:dyDescent="0.35">
      <c r="A241" t="s">
        <v>219</v>
      </c>
      <c r="B241" t="s">
        <v>220</v>
      </c>
      <c r="C241" t="s">
        <v>127</v>
      </c>
      <c r="D241" t="s">
        <v>221</v>
      </c>
      <c r="F241">
        <f>G241*2</f>
        <v>9190</v>
      </c>
      <c r="G241">
        <v>4595</v>
      </c>
      <c r="H241">
        <v>43376</v>
      </c>
      <c r="I241">
        <v>43420</v>
      </c>
      <c r="L241">
        <v>43455</v>
      </c>
      <c r="M241" t="s">
        <v>222</v>
      </c>
      <c r="N241">
        <v>43486</v>
      </c>
      <c r="O241">
        <v>5511.78</v>
      </c>
      <c r="P241">
        <v>43494</v>
      </c>
      <c r="Q241">
        <v>43495</v>
      </c>
    </row>
    <row r="242" spans="1:17" x14ac:dyDescent="0.35">
      <c r="A242" t="s">
        <v>223</v>
      </c>
      <c r="B242" t="s">
        <v>224</v>
      </c>
      <c r="C242" t="s">
        <v>225</v>
      </c>
      <c r="D242" t="s">
        <v>221</v>
      </c>
      <c r="F242">
        <f>G242*2</f>
        <v>6328</v>
      </c>
      <c r="G242">
        <v>3164</v>
      </c>
      <c r="H242">
        <v>43376</v>
      </c>
      <c r="I242">
        <v>43420</v>
      </c>
    </row>
    <row r="243" spans="1:17" x14ac:dyDescent="0.35">
      <c r="A243" t="s">
        <v>226</v>
      </c>
      <c r="B243" t="s">
        <v>227</v>
      </c>
      <c r="C243" t="s">
        <v>127</v>
      </c>
      <c r="D243" t="s">
        <v>155</v>
      </c>
      <c r="F243">
        <v>151.68022845393284</v>
      </c>
      <c r="G243">
        <v>75.840114226966421</v>
      </c>
      <c r="H243">
        <v>43396</v>
      </c>
      <c r="I243">
        <v>43420</v>
      </c>
      <c r="J243">
        <v>43439</v>
      </c>
      <c r="K243" t="s">
        <v>228</v>
      </c>
      <c r="L243">
        <v>43455</v>
      </c>
      <c r="M243" t="s">
        <v>222</v>
      </c>
      <c r="N243">
        <v>43486</v>
      </c>
      <c r="O243">
        <v>5511.78</v>
      </c>
      <c r="P243">
        <v>43494</v>
      </c>
      <c r="Q243">
        <v>43495</v>
      </c>
    </row>
    <row r="244" spans="1:17" x14ac:dyDescent="0.35">
      <c r="A244" t="s">
        <v>157</v>
      </c>
      <c r="B244" t="s">
        <v>227</v>
      </c>
      <c r="C244" t="s">
        <v>127</v>
      </c>
      <c r="D244" t="s">
        <v>155</v>
      </c>
      <c r="F244">
        <v>126</v>
      </c>
      <c r="G244" t="s">
        <v>153</v>
      </c>
      <c r="H244">
        <v>43396</v>
      </c>
      <c r="I244">
        <v>43420</v>
      </c>
    </row>
    <row r="245" spans="1:17" x14ac:dyDescent="0.35">
      <c r="A245" t="s">
        <v>206</v>
      </c>
      <c r="B245" t="s">
        <v>227</v>
      </c>
      <c r="C245" t="s">
        <v>127</v>
      </c>
      <c r="D245" t="s">
        <v>155</v>
      </c>
      <c r="F245">
        <v>5</v>
      </c>
      <c r="G245">
        <v>3</v>
      </c>
      <c r="H245">
        <v>43396</v>
      </c>
      <c r="I245">
        <v>43420</v>
      </c>
      <c r="J245">
        <v>43439</v>
      </c>
      <c r="K245" t="s">
        <v>228</v>
      </c>
      <c r="L245">
        <v>43425</v>
      </c>
    </row>
    <row r="246" spans="1:17" x14ac:dyDescent="0.35">
      <c r="A246" t="s">
        <v>211</v>
      </c>
      <c r="B246" t="s">
        <v>227</v>
      </c>
      <c r="C246" t="s">
        <v>127</v>
      </c>
      <c r="D246" t="s">
        <v>155</v>
      </c>
      <c r="F246">
        <v>479.44974076443475</v>
      </c>
      <c r="G246">
        <v>239.72487038221738</v>
      </c>
      <c r="H246">
        <v>43396</v>
      </c>
      <c r="I246">
        <v>43420</v>
      </c>
      <c r="J246">
        <v>43439</v>
      </c>
      <c r="K246" t="s">
        <v>228</v>
      </c>
      <c r="L246">
        <v>43437</v>
      </c>
    </row>
    <row r="247" spans="1:17" x14ac:dyDescent="0.35">
      <c r="A247" t="s">
        <v>152</v>
      </c>
      <c r="B247" t="s">
        <v>227</v>
      </c>
      <c r="C247" t="s">
        <v>127</v>
      </c>
      <c r="D247" t="s">
        <v>155</v>
      </c>
      <c r="F247">
        <v>88.355567661507891</v>
      </c>
      <c r="G247" t="s">
        <v>153</v>
      </c>
      <c r="H247">
        <v>43396</v>
      </c>
      <c r="I247">
        <v>43420</v>
      </c>
    </row>
    <row r="248" spans="1:17" x14ac:dyDescent="0.35">
      <c r="A248" t="s">
        <v>185</v>
      </c>
      <c r="B248" t="s">
        <v>227</v>
      </c>
      <c r="C248" t="s">
        <v>127</v>
      </c>
      <c r="D248" t="s">
        <v>155</v>
      </c>
      <c r="F248">
        <v>389.25025081059152</v>
      </c>
      <c r="G248">
        <v>194.62512540529576</v>
      </c>
      <c r="H248">
        <v>43396</v>
      </c>
      <c r="I248">
        <v>43420</v>
      </c>
      <c r="J248">
        <v>43439</v>
      </c>
      <c r="K248" t="s">
        <v>228</v>
      </c>
    </row>
    <row r="249" spans="1:17" x14ac:dyDescent="0.35">
      <c r="A249" t="s">
        <v>208</v>
      </c>
      <c r="B249" t="s">
        <v>227</v>
      </c>
      <c r="C249" t="s">
        <v>127</v>
      </c>
      <c r="D249" t="s">
        <v>155</v>
      </c>
      <c r="F249">
        <v>361.94296909625569</v>
      </c>
      <c r="G249">
        <v>180.97148454812785</v>
      </c>
      <c r="H249">
        <v>43396</v>
      </c>
      <c r="I249">
        <v>43420</v>
      </c>
      <c r="J249">
        <v>43439</v>
      </c>
      <c r="K249" t="s">
        <v>228</v>
      </c>
    </row>
    <row r="250" spans="1:17" x14ac:dyDescent="0.35">
      <c r="A250" t="s">
        <v>209</v>
      </c>
      <c r="B250" t="s">
        <v>227</v>
      </c>
      <c r="C250" t="s">
        <v>127</v>
      </c>
      <c r="D250" t="s">
        <v>155</v>
      </c>
      <c r="F250">
        <v>636.67008437184506</v>
      </c>
      <c r="G250">
        <v>318.33504218592253</v>
      </c>
      <c r="H250">
        <v>43396</v>
      </c>
      <c r="I250">
        <v>43420</v>
      </c>
      <c r="J250">
        <v>43439</v>
      </c>
      <c r="K250" t="s">
        <v>228</v>
      </c>
    </row>
    <row r="251" spans="1:17" x14ac:dyDescent="0.35">
      <c r="A251" t="s">
        <v>158</v>
      </c>
      <c r="B251" t="s">
        <v>227</v>
      </c>
      <c r="C251" t="s">
        <v>127</v>
      </c>
      <c r="D251" t="s">
        <v>155</v>
      </c>
      <c r="F251">
        <v>109.5359989732117</v>
      </c>
      <c r="G251" t="s">
        <v>153</v>
      </c>
      <c r="H251">
        <v>43396</v>
      </c>
      <c r="I251">
        <v>43420</v>
      </c>
    </row>
    <row r="252" spans="1:17" x14ac:dyDescent="0.35">
      <c r="A252" t="s">
        <v>210</v>
      </c>
      <c r="B252" t="s">
        <v>227</v>
      </c>
      <c r="C252" t="s">
        <v>127</v>
      </c>
      <c r="D252" t="s">
        <v>155</v>
      </c>
      <c r="F252">
        <v>313.26685162904153</v>
      </c>
      <c r="G252">
        <v>93.980055488712452</v>
      </c>
      <c r="H252">
        <v>43396</v>
      </c>
      <c r="I252">
        <v>43420</v>
      </c>
      <c r="J252">
        <v>43439</v>
      </c>
      <c r="K252" t="s">
        <v>228</v>
      </c>
    </row>
    <row r="253" spans="1:17" x14ac:dyDescent="0.35">
      <c r="A253" t="s">
        <v>229</v>
      </c>
      <c r="B253" t="s">
        <v>227</v>
      </c>
      <c r="C253" t="s">
        <v>127</v>
      </c>
      <c r="D253" t="s">
        <v>155</v>
      </c>
      <c r="F253">
        <v>312.40549322896726</v>
      </c>
      <c r="G253">
        <v>156.20274661448363</v>
      </c>
      <c r="H253">
        <v>43396</v>
      </c>
      <c r="I253">
        <v>43420</v>
      </c>
      <c r="J253">
        <v>43439</v>
      </c>
      <c r="K253" t="s">
        <v>228</v>
      </c>
    </row>
    <row r="254" spans="1:17" x14ac:dyDescent="0.35">
      <c r="A254" t="s">
        <v>159</v>
      </c>
      <c r="B254" t="s">
        <v>227</v>
      </c>
      <c r="C254" t="s">
        <v>127</v>
      </c>
      <c r="D254" t="s">
        <v>155</v>
      </c>
      <c r="F254">
        <v>7.169019192995493</v>
      </c>
      <c r="G254" t="s">
        <v>153</v>
      </c>
      <c r="H254">
        <v>43396</v>
      </c>
      <c r="I254">
        <v>43420</v>
      </c>
    </row>
    <row r="255" spans="1:17" x14ac:dyDescent="0.35">
      <c r="A255" t="s">
        <v>230</v>
      </c>
      <c r="B255" t="s">
        <v>227</v>
      </c>
      <c r="C255" t="s">
        <v>127</v>
      </c>
      <c r="D255" t="s">
        <v>155</v>
      </c>
      <c r="F255">
        <v>19.331880605582359</v>
      </c>
      <c r="G255">
        <v>9.6659403027911797</v>
      </c>
      <c r="H255">
        <v>43396</v>
      </c>
      <c r="I255">
        <v>43420</v>
      </c>
      <c r="J255">
        <v>43439</v>
      </c>
      <c r="K255" t="s">
        <v>228</v>
      </c>
    </row>
    <row r="256" spans="1:17" x14ac:dyDescent="0.35">
      <c r="A256" t="s">
        <v>30</v>
      </c>
      <c r="B256" t="s">
        <v>227</v>
      </c>
      <c r="C256" t="s">
        <v>127</v>
      </c>
      <c r="D256" t="s">
        <v>155</v>
      </c>
      <c r="F256">
        <v>60.873187205598335</v>
      </c>
      <c r="G256">
        <v>30.436593602799167</v>
      </c>
      <c r="H256">
        <v>43396</v>
      </c>
      <c r="I256">
        <v>43420</v>
      </c>
      <c r="J256">
        <v>43439</v>
      </c>
      <c r="K256" t="s">
        <v>228</v>
      </c>
      <c r="L256">
        <v>43493</v>
      </c>
    </row>
    <row r="257" spans="1:12" x14ac:dyDescent="0.35">
      <c r="A257" t="s">
        <v>212</v>
      </c>
      <c r="B257" t="s">
        <v>227</v>
      </c>
      <c r="C257" t="s">
        <v>127</v>
      </c>
      <c r="D257" t="s">
        <v>155</v>
      </c>
      <c r="F257">
        <v>2093.2548534417992</v>
      </c>
      <c r="G257">
        <v>1046.6274267208996</v>
      </c>
      <c r="H257">
        <v>43396</v>
      </c>
      <c r="I257">
        <v>43420</v>
      </c>
      <c r="J257">
        <v>43439</v>
      </c>
      <c r="K257" t="s">
        <v>228</v>
      </c>
    </row>
    <row r="258" spans="1:12" x14ac:dyDescent="0.35">
      <c r="A258" t="s">
        <v>78</v>
      </c>
      <c r="B258" t="s">
        <v>227</v>
      </c>
      <c r="C258" t="s">
        <v>127</v>
      </c>
      <c r="D258" t="s">
        <v>155</v>
      </c>
      <c r="F258">
        <v>235.83083395324681</v>
      </c>
      <c r="G258">
        <v>117.9154169766234</v>
      </c>
      <c r="H258">
        <v>43396</v>
      </c>
      <c r="I258">
        <v>43420</v>
      </c>
    </row>
    <row r="259" spans="1:12" x14ac:dyDescent="0.35">
      <c r="A259" t="s">
        <v>213</v>
      </c>
      <c r="B259" t="s">
        <v>227</v>
      </c>
      <c r="C259" t="s">
        <v>127</v>
      </c>
      <c r="D259" t="s">
        <v>155</v>
      </c>
      <c r="F259">
        <v>243.75840783313458</v>
      </c>
      <c r="G259">
        <v>73.127522349940364</v>
      </c>
      <c r="H259">
        <v>43396</v>
      </c>
      <c r="I259">
        <v>43420</v>
      </c>
      <c r="J259">
        <v>43439</v>
      </c>
      <c r="K259" t="s">
        <v>228</v>
      </c>
      <c r="L259">
        <v>43437</v>
      </c>
    </row>
    <row r="260" spans="1:12" x14ac:dyDescent="0.35">
      <c r="A260" t="s">
        <v>160</v>
      </c>
      <c r="B260" t="s">
        <v>227</v>
      </c>
      <c r="C260" t="s">
        <v>127</v>
      </c>
      <c r="D260" t="s">
        <v>155</v>
      </c>
      <c r="F260">
        <v>141.1747809443163</v>
      </c>
      <c r="G260" t="s">
        <v>153</v>
      </c>
      <c r="H260">
        <v>43396</v>
      </c>
      <c r="I260">
        <v>43420</v>
      </c>
    </row>
    <row r="261" spans="1:12" x14ac:dyDescent="0.35">
      <c r="A261" t="s">
        <v>120</v>
      </c>
      <c r="B261" t="s">
        <v>227</v>
      </c>
      <c r="C261" t="s">
        <v>127</v>
      </c>
      <c r="D261" t="s">
        <v>155</v>
      </c>
      <c r="F261">
        <v>1382.8806818817459</v>
      </c>
      <c r="G261" t="s">
        <v>153</v>
      </c>
      <c r="H261">
        <v>43396</v>
      </c>
      <c r="I261">
        <v>43420</v>
      </c>
    </row>
    <row r="262" spans="1:12" x14ac:dyDescent="0.35">
      <c r="A262" t="s">
        <v>190</v>
      </c>
      <c r="B262" t="s">
        <v>227</v>
      </c>
      <c r="C262" t="s">
        <v>127</v>
      </c>
      <c r="D262" t="s">
        <v>155</v>
      </c>
      <c r="F262">
        <v>173.29866237318308</v>
      </c>
      <c r="G262">
        <v>86.649331186591539</v>
      </c>
      <c r="H262">
        <v>43396</v>
      </c>
      <c r="I262">
        <v>43420</v>
      </c>
      <c r="J262">
        <v>43501</v>
      </c>
      <c r="K262" t="s">
        <v>205</v>
      </c>
      <c r="L262">
        <v>43501</v>
      </c>
    </row>
    <row r="263" spans="1:12" x14ac:dyDescent="0.35">
      <c r="A263" t="s">
        <v>161</v>
      </c>
      <c r="B263" t="s">
        <v>227</v>
      </c>
      <c r="C263" t="s">
        <v>127</v>
      </c>
      <c r="D263" t="s">
        <v>155</v>
      </c>
      <c r="F263">
        <v>0.7768442965264456</v>
      </c>
      <c r="G263" t="s">
        <v>153</v>
      </c>
      <c r="H263">
        <v>43396</v>
      </c>
      <c r="I263">
        <v>43420</v>
      </c>
    </row>
    <row r="264" spans="1:12" x14ac:dyDescent="0.35">
      <c r="A264" t="s">
        <v>162</v>
      </c>
      <c r="B264" t="s">
        <v>227</v>
      </c>
      <c r="C264" t="s">
        <v>127</v>
      </c>
      <c r="D264" t="s">
        <v>155</v>
      </c>
      <c r="F264">
        <v>1057.3029578974106</v>
      </c>
      <c r="G264">
        <v>634.3817747384461</v>
      </c>
      <c r="H264">
        <v>43396</v>
      </c>
      <c r="I264">
        <v>43420</v>
      </c>
      <c r="J264">
        <v>43439</v>
      </c>
      <c r="K264" t="s">
        <v>228</v>
      </c>
      <c r="L264">
        <v>43493</v>
      </c>
    </row>
    <row r="265" spans="1:12" x14ac:dyDescent="0.35">
      <c r="A265" t="s">
        <v>214</v>
      </c>
      <c r="B265" t="s">
        <v>227</v>
      </c>
      <c r="C265" t="s">
        <v>127</v>
      </c>
      <c r="D265" t="s">
        <v>155</v>
      </c>
      <c r="F265">
        <v>20.314324933839799</v>
      </c>
      <c r="G265">
        <v>8.1257299735359201</v>
      </c>
      <c r="H265">
        <v>43396</v>
      </c>
      <c r="I265">
        <v>43420</v>
      </c>
      <c r="J265">
        <v>43439</v>
      </c>
      <c r="K265" t="s">
        <v>228</v>
      </c>
    </row>
    <row r="266" spans="1:12" x14ac:dyDescent="0.35">
      <c r="A266" t="s">
        <v>82</v>
      </c>
      <c r="B266" t="s">
        <v>227</v>
      </c>
      <c r="C266" t="s">
        <v>127</v>
      </c>
      <c r="D266" t="s">
        <v>155</v>
      </c>
      <c r="F266">
        <v>1787.4672839178199</v>
      </c>
      <c r="G266">
        <v>893.73364195890997</v>
      </c>
      <c r="H266">
        <v>43396</v>
      </c>
      <c r="I266">
        <v>43420</v>
      </c>
      <c r="J266">
        <v>43439</v>
      </c>
      <c r="K266" t="s">
        <v>228</v>
      </c>
      <c r="L266">
        <v>43451</v>
      </c>
    </row>
    <row r="267" spans="1:12" x14ac:dyDescent="0.35">
      <c r="A267" t="s">
        <v>151</v>
      </c>
      <c r="B267" t="s">
        <v>227</v>
      </c>
      <c r="C267" t="s">
        <v>127</v>
      </c>
      <c r="D267" t="s">
        <v>155</v>
      </c>
      <c r="F267">
        <v>13509.77634965779</v>
      </c>
      <c r="G267">
        <v>8105.8658097947027</v>
      </c>
      <c r="H267">
        <v>43396</v>
      </c>
      <c r="I267">
        <v>43420</v>
      </c>
    </row>
    <row r="268" spans="1:12" x14ac:dyDescent="0.35">
      <c r="A268" t="s">
        <v>193</v>
      </c>
      <c r="B268" t="s">
        <v>227</v>
      </c>
      <c r="C268" t="s">
        <v>127</v>
      </c>
      <c r="D268" t="s">
        <v>155</v>
      </c>
      <c r="F268">
        <v>169.23050289448477</v>
      </c>
      <c r="G268">
        <v>84.615251447242386</v>
      </c>
      <c r="H268">
        <v>43396</v>
      </c>
      <c r="I268">
        <v>43420</v>
      </c>
      <c r="J268">
        <v>43439</v>
      </c>
      <c r="K268" t="s">
        <v>228</v>
      </c>
    </row>
    <row r="269" spans="1:12" x14ac:dyDescent="0.35">
      <c r="A269" t="s">
        <v>215</v>
      </c>
      <c r="B269" t="s">
        <v>227</v>
      </c>
      <c r="C269" t="s">
        <v>127</v>
      </c>
      <c r="D269" t="s">
        <v>155</v>
      </c>
      <c r="F269">
        <v>9.3244627813755834</v>
      </c>
      <c r="G269">
        <v>4.6622313906877917</v>
      </c>
      <c r="H269">
        <v>43396</v>
      </c>
      <c r="I269">
        <v>43420</v>
      </c>
      <c r="J269">
        <v>43439</v>
      </c>
      <c r="K269" t="s">
        <v>228</v>
      </c>
    </row>
    <row r="270" spans="1:12" x14ac:dyDescent="0.35">
      <c r="A270" t="s">
        <v>183</v>
      </c>
      <c r="B270" t="s">
        <v>227</v>
      </c>
      <c r="C270" t="s">
        <v>127</v>
      </c>
      <c r="D270" t="s">
        <v>155</v>
      </c>
      <c r="F270">
        <v>3154.0074586132123</v>
      </c>
      <c r="G270" t="s">
        <v>153</v>
      </c>
      <c r="H270">
        <v>43396</v>
      </c>
      <c r="I270">
        <v>43420</v>
      </c>
    </row>
    <row r="271" spans="1:12" x14ac:dyDescent="0.35">
      <c r="A271" t="s">
        <v>186</v>
      </c>
      <c r="B271" t="s">
        <v>227</v>
      </c>
      <c r="C271" t="s">
        <v>127</v>
      </c>
      <c r="D271" t="s">
        <v>155</v>
      </c>
      <c r="F271">
        <v>290.57002771432843</v>
      </c>
      <c r="G271">
        <v>145.28501385716422</v>
      </c>
      <c r="H271">
        <v>43396</v>
      </c>
      <c r="I271">
        <v>43420</v>
      </c>
      <c r="J271">
        <v>43439</v>
      </c>
      <c r="K271" t="s">
        <v>228</v>
      </c>
    </row>
    <row r="272" spans="1:12" x14ac:dyDescent="0.35">
      <c r="A272" t="s">
        <v>157</v>
      </c>
      <c r="B272" t="s">
        <v>231</v>
      </c>
      <c r="C272" t="s">
        <v>217</v>
      </c>
      <c r="D272" t="s">
        <v>155</v>
      </c>
      <c r="F272">
        <v>40852.165474858324</v>
      </c>
      <c r="G272" t="s">
        <v>153</v>
      </c>
      <c r="H272">
        <v>43397</v>
      </c>
      <c r="I272">
        <v>43420</v>
      </c>
    </row>
    <row r="273" spans="1:12" x14ac:dyDescent="0.35">
      <c r="A273" t="s">
        <v>152</v>
      </c>
      <c r="B273" t="s">
        <v>231</v>
      </c>
      <c r="C273" t="s">
        <v>217</v>
      </c>
      <c r="D273" t="s">
        <v>155</v>
      </c>
      <c r="F273">
        <v>7792</v>
      </c>
      <c r="G273" t="s">
        <v>153</v>
      </c>
      <c r="H273">
        <v>43397</v>
      </c>
      <c r="I273">
        <v>43420</v>
      </c>
    </row>
    <row r="274" spans="1:12" x14ac:dyDescent="0.35">
      <c r="A274" t="s">
        <v>158</v>
      </c>
      <c r="B274" t="s">
        <v>231</v>
      </c>
      <c r="C274" t="s">
        <v>217</v>
      </c>
      <c r="D274" t="s">
        <v>155</v>
      </c>
      <c r="F274">
        <v>21394.284117548537</v>
      </c>
      <c r="G274" t="s">
        <v>153</v>
      </c>
      <c r="H274">
        <v>43397</v>
      </c>
      <c r="I274">
        <v>43420</v>
      </c>
    </row>
    <row r="275" spans="1:12" x14ac:dyDescent="0.35">
      <c r="A275" t="s">
        <v>229</v>
      </c>
      <c r="B275" t="s">
        <v>231</v>
      </c>
      <c r="C275" t="s">
        <v>217</v>
      </c>
      <c r="D275" t="s">
        <v>155</v>
      </c>
      <c r="F275">
        <v>3.5714285714285716</v>
      </c>
      <c r="G275">
        <v>1.7857142857142858</v>
      </c>
      <c r="H275">
        <v>43397</v>
      </c>
      <c r="I275">
        <v>43420</v>
      </c>
      <c r="J275">
        <v>43439</v>
      </c>
      <c r="K275" t="s">
        <v>228</v>
      </c>
    </row>
    <row r="276" spans="1:12" x14ac:dyDescent="0.35">
      <c r="A276" t="s">
        <v>159</v>
      </c>
      <c r="B276" t="s">
        <v>231</v>
      </c>
      <c r="C276" t="s">
        <v>217</v>
      </c>
      <c r="D276" t="s">
        <v>155</v>
      </c>
      <c r="F276">
        <v>19076.796678591956</v>
      </c>
      <c r="G276" t="s">
        <v>153</v>
      </c>
      <c r="H276">
        <v>43397</v>
      </c>
      <c r="I276">
        <v>43420</v>
      </c>
    </row>
    <row r="277" spans="1:12" x14ac:dyDescent="0.35">
      <c r="A277" t="s">
        <v>30</v>
      </c>
      <c r="B277" t="s">
        <v>231</v>
      </c>
      <c r="C277" t="s">
        <v>217</v>
      </c>
      <c r="D277" t="s">
        <v>155</v>
      </c>
      <c r="F277">
        <v>9306.4198467999013</v>
      </c>
      <c r="G277">
        <v>4653.2099233999506</v>
      </c>
      <c r="H277">
        <v>43397</v>
      </c>
      <c r="I277">
        <v>43420</v>
      </c>
      <c r="J277">
        <v>43439</v>
      </c>
      <c r="K277" t="s">
        <v>228</v>
      </c>
      <c r="L277">
        <v>43493</v>
      </c>
    </row>
    <row r="278" spans="1:12" x14ac:dyDescent="0.35">
      <c r="A278" t="s">
        <v>78</v>
      </c>
      <c r="B278" t="s">
        <v>231</v>
      </c>
      <c r="C278" t="s">
        <v>217</v>
      </c>
      <c r="D278" t="s">
        <v>155</v>
      </c>
      <c r="F278">
        <v>2508.1643580894629</v>
      </c>
      <c r="G278">
        <v>1254.0821790447314</v>
      </c>
      <c r="H278">
        <v>43397</v>
      </c>
      <c r="I278">
        <v>43420</v>
      </c>
    </row>
    <row r="279" spans="1:12" x14ac:dyDescent="0.35">
      <c r="A279" t="s">
        <v>120</v>
      </c>
      <c r="B279" t="s">
        <v>231</v>
      </c>
      <c r="C279" t="s">
        <v>217</v>
      </c>
      <c r="D279" t="s">
        <v>155</v>
      </c>
      <c r="F279">
        <v>315.38129973474804</v>
      </c>
      <c r="G279" t="s">
        <v>153</v>
      </c>
      <c r="H279">
        <v>43397</v>
      </c>
      <c r="I279">
        <v>43420</v>
      </c>
    </row>
    <row r="280" spans="1:12" x14ac:dyDescent="0.35">
      <c r="A280" t="s">
        <v>190</v>
      </c>
      <c r="B280" t="s">
        <v>231</v>
      </c>
      <c r="C280" t="s">
        <v>217</v>
      </c>
      <c r="D280" t="s">
        <v>155</v>
      </c>
      <c r="F280">
        <v>3281.6343069776576</v>
      </c>
      <c r="G280">
        <v>1640.8171534888288</v>
      </c>
      <c r="H280">
        <v>43397</v>
      </c>
      <c r="I280">
        <v>43420</v>
      </c>
      <c r="J280">
        <v>43501</v>
      </c>
      <c r="K280" t="s">
        <v>205</v>
      </c>
      <c r="L280">
        <v>43501</v>
      </c>
    </row>
    <row r="281" spans="1:12" x14ac:dyDescent="0.35">
      <c r="A281" t="s">
        <v>162</v>
      </c>
      <c r="B281" t="s">
        <v>231</v>
      </c>
      <c r="C281" t="s">
        <v>217</v>
      </c>
      <c r="D281" t="s">
        <v>155</v>
      </c>
      <c r="F281">
        <v>6447.8005414514</v>
      </c>
      <c r="G281">
        <v>3868.6803248708402</v>
      </c>
      <c r="H281">
        <v>43397</v>
      </c>
      <c r="I281">
        <v>43420</v>
      </c>
      <c r="J281">
        <v>43439</v>
      </c>
      <c r="K281" t="s">
        <v>228</v>
      </c>
      <c r="L281">
        <v>43493</v>
      </c>
    </row>
    <row r="282" spans="1:12" x14ac:dyDescent="0.35">
      <c r="A282" t="s">
        <v>82</v>
      </c>
      <c r="B282" t="s">
        <v>231</v>
      </c>
      <c r="C282" t="s">
        <v>217</v>
      </c>
      <c r="D282" t="s">
        <v>155</v>
      </c>
      <c r="F282">
        <v>28238.485928515714</v>
      </c>
      <c r="G282">
        <v>14119.242964257857</v>
      </c>
      <c r="H282">
        <v>43397</v>
      </c>
      <c r="I282">
        <v>43420</v>
      </c>
      <c r="J282">
        <v>43439</v>
      </c>
      <c r="K282" t="s">
        <v>228</v>
      </c>
      <c r="L282">
        <v>43451</v>
      </c>
    </row>
    <row r="283" spans="1:12" x14ac:dyDescent="0.35">
      <c r="A283" t="s">
        <v>151</v>
      </c>
      <c r="B283" t="s">
        <v>231</v>
      </c>
      <c r="C283" t="s">
        <v>217</v>
      </c>
      <c r="D283" t="s">
        <v>155</v>
      </c>
      <c r="F283">
        <v>432105.08901072235</v>
      </c>
      <c r="G283">
        <v>259263.05340643344</v>
      </c>
      <c r="H283">
        <v>43397</v>
      </c>
      <c r="I283">
        <v>43420</v>
      </c>
    </row>
    <row r="284" spans="1:12" x14ac:dyDescent="0.35">
      <c r="A284" t="s">
        <v>183</v>
      </c>
      <c r="B284" t="s">
        <v>231</v>
      </c>
      <c r="C284" t="s">
        <v>217</v>
      </c>
      <c r="D284" t="s">
        <v>155</v>
      </c>
      <c r="F284">
        <v>344022.55979197228</v>
      </c>
      <c r="G284" t="s">
        <v>153</v>
      </c>
      <c r="H284">
        <v>43397</v>
      </c>
      <c r="I284">
        <v>43420</v>
      </c>
    </row>
    <row r="285" spans="1:12" x14ac:dyDescent="0.35">
      <c r="A285" t="s">
        <v>232</v>
      </c>
      <c r="B285" t="s">
        <v>231</v>
      </c>
      <c r="C285" t="s">
        <v>217</v>
      </c>
      <c r="D285" t="s">
        <v>155</v>
      </c>
      <c r="F285">
        <v>620</v>
      </c>
      <c r="G285" t="s">
        <v>153</v>
      </c>
      <c r="H285">
        <v>43397</v>
      </c>
      <c r="I285">
        <v>43420</v>
      </c>
    </row>
    <row r="286" spans="1:12" x14ac:dyDescent="0.35">
      <c r="A286" t="s">
        <v>233</v>
      </c>
      <c r="B286" t="s">
        <v>231</v>
      </c>
      <c r="C286" t="s">
        <v>217</v>
      </c>
      <c r="D286" t="s">
        <v>155</v>
      </c>
      <c r="F286">
        <v>3.125</v>
      </c>
      <c r="G286">
        <v>1.5625</v>
      </c>
      <c r="H286">
        <v>43397</v>
      </c>
      <c r="I286">
        <v>43420</v>
      </c>
    </row>
    <row r="287" spans="1:12" x14ac:dyDescent="0.35">
      <c r="A287" t="s">
        <v>185</v>
      </c>
      <c r="B287" t="s">
        <v>234</v>
      </c>
      <c r="C287" t="s">
        <v>235</v>
      </c>
      <c r="D287" t="s">
        <v>123</v>
      </c>
      <c r="F287">
        <v>800</v>
      </c>
      <c r="G287">
        <v>400</v>
      </c>
      <c r="H287">
        <v>43424</v>
      </c>
      <c r="I287">
        <v>43424</v>
      </c>
      <c r="J287">
        <v>43439</v>
      </c>
      <c r="K287" t="s">
        <v>228</v>
      </c>
    </row>
    <row r="288" spans="1:12" x14ac:dyDescent="0.35">
      <c r="A288" t="s">
        <v>223</v>
      </c>
      <c r="B288" t="s">
        <v>234</v>
      </c>
      <c r="C288" t="s">
        <v>173</v>
      </c>
      <c r="D288" t="s">
        <v>236</v>
      </c>
      <c r="F288">
        <v>6</v>
      </c>
      <c r="G288">
        <v>3</v>
      </c>
      <c r="H288">
        <v>43440</v>
      </c>
      <c r="I288">
        <v>43440</v>
      </c>
    </row>
    <row r="289" spans="1:12" x14ac:dyDescent="0.35">
      <c r="A289" t="s">
        <v>219</v>
      </c>
      <c r="B289" t="s">
        <v>234</v>
      </c>
      <c r="C289" t="s">
        <v>237</v>
      </c>
      <c r="D289" t="s">
        <v>155</v>
      </c>
      <c r="F289">
        <v>138</v>
      </c>
      <c r="G289">
        <v>69</v>
      </c>
      <c r="H289">
        <v>43441</v>
      </c>
      <c r="I289">
        <v>43441</v>
      </c>
      <c r="J289">
        <v>43496</v>
      </c>
      <c r="K289" t="s">
        <v>238</v>
      </c>
      <c r="L289">
        <v>43703</v>
      </c>
    </row>
    <row r="290" spans="1:12" x14ac:dyDescent="0.35">
      <c r="A290" t="s">
        <v>223</v>
      </c>
      <c r="B290" t="s">
        <v>234</v>
      </c>
      <c r="C290" t="s">
        <v>237</v>
      </c>
      <c r="D290" t="s">
        <v>155</v>
      </c>
      <c r="F290">
        <v>6</v>
      </c>
      <c r="G290">
        <v>3</v>
      </c>
      <c r="H290">
        <v>43441</v>
      </c>
      <c r="I290">
        <v>43441</v>
      </c>
    </row>
    <row r="291" spans="1:12" x14ac:dyDescent="0.35">
      <c r="A291" t="s">
        <v>219</v>
      </c>
      <c r="B291" t="s">
        <v>239</v>
      </c>
      <c r="C291" t="s">
        <v>240</v>
      </c>
      <c r="D291" t="s">
        <v>155</v>
      </c>
      <c r="F291">
        <v>34.752126753330153</v>
      </c>
      <c r="G291">
        <v>17.376063376665076</v>
      </c>
      <c r="H291">
        <v>43448</v>
      </c>
      <c r="I291">
        <v>43448</v>
      </c>
      <c r="J291">
        <v>43496</v>
      </c>
      <c r="K291" t="s">
        <v>238</v>
      </c>
      <c r="L291">
        <v>43703</v>
      </c>
    </row>
    <row r="292" spans="1:12" x14ac:dyDescent="0.35">
      <c r="A292" t="s">
        <v>219</v>
      </c>
      <c r="B292" t="s">
        <v>241</v>
      </c>
      <c r="C292" t="s">
        <v>242</v>
      </c>
      <c r="D292" t="s">
        <v>243</v>
      </c>
      <c r="F292">
        <v>461.16695994826301</v>
      </c>
      <c r="G292">
        <v>230.58347997413151</v>
      </c>
      <c r="H292">
        <v>43454</v>
      </c>
      <c r="I292">
        <v>43455</v>
      </c>
      <c r="J292">
        <v>43496</v>
      </c>
      <c r="K292" t="s">
        <v>238</v>
      </c>
      <c r="L292">
        <v>43703</v>
      </c>
    </row>
    <row r="293" spans="1:12" x14ac:dyDescent="0.35">
      <c r="A293" t="s">
        <v>190</v>
      </c>
      <c r="B293" t="s">
        <v>244</v>
      </c>
      <c r="C293" t="s">
        <v>245</v>
      </c>
      <c r="D293" t="s">
        <v>155</v>
      </c>
      <c r="F293">
        <v>8266.1057215442834</v>
      </c>
      <c r="G293">
        <v>4133.0528607721417</v>
      </c>
      <c r="H293">
        <v>43453</v>
      </c>
      <c r="I293">
        <v>43453</v>
      </c>
      <c r="J293">
        <v>43453</v>
      </c>
      <c r="K293" t="s">
        <v>205</v>
      </c>
      <c r="L293">
        <v>43501</v>
      </c>
    </row>
    <row r="294" spans="1:12" x14ac:dyDescent="0.35">
      <c r="A294" t="s">
        <v>219</v>
      </c>
      <c r="B294" t="s">
        <v>216</v>
      </c>
      <c r="C294" t="s">
        <v>246</v>
      </c>
      <c r="D294" t="s">
        <v>155</v>
      </c>
      <c r="F294" t="s">
        <v>153</v>
      </c>
      <c r="G294">
        <v>275.10000000000002</v>
      </c>
      <c r="H294">
        <v>43469</v>
      </c>
      <c r="I294">
        <v>43474</v>
      </c>
      <c r="J294">
        <v>43496</v>
      </c>
      <c r="K294" t="s">
        <v>238</v>
      </c>
      <c r="L294">
        <v>43703</v>
      </c>
    </row>
    <row r="295" spans="1:12" x14ac:dyDescent="0.35">
      <c r="A295" t="s">
        <v>223</v>
      </c>
      <c r="B295" t="s">
        <v>216</v>
      </c>
      <c r="C295" t="s">
        <v>245</v>
      </c>
      <c r="D295" t="s">
        <v>155</v>
      </c>
      <c r="F295" t="s">
        <v>153</v>
      </c>
      <c r="G295">
        <v>5.2</v>
      </c>
      <c r="H295">
        <v>43469</v>
      </c>
      <c r="I295">
        <v>43474</v>
      </c>
    </row>
    <row r="296" spans="1:12" x14ac:dyDescent="0.35">
      <c r="A296" t="s">
        <v>219</v>
      </c>
      <c r="B296" t="s">
        <v>247</v>
      </c>
      <c r="C296" t="s">
        <v>240</v>
      </c>
      <c r="D296" t="s">
        <v>155</v>
      </c>
      <c r="F296">
        <v>38</v>
      </c>
      <c r="G296">
        <v>19</v>
      </c>
      <c r="H296">
        <v>43469</v>
      </c>
      <c r="I296">
        <v>43474</v>
      </c>
      <c r="J296">
        <v>43496</v>
      </c>
      <c r="K296" t="s">
        <v>238</v>
      </c>
      <c r="L296">
        <v>43703</v>
      </c>
    </row>
    <row r="297" spans="1:12" x14ac:dyDescent="0.35">
      <c r="A297" t="s">
        <v>219</v>
      </c>
      <c r="B297" t="s">
        <v>248</v>
      </c>
      <c r="C297" t="s">
        <v>236</v>
      </c>
      <c r="D297" t="s">
        <v>155</v>
      </c>
      <c r="F297">
        <v>3</v>
      </c>
      <c r="G297">
        <v>2</v>
      </c>
      <c r="H297">
        <v>43474</v>
      </c>
      <c r="I297">
        <v>43474</v>
      </c>
      <c r="J297">
        <v>43496</v>
      </c>
      <c r="K297" t="s">
        <v>238</v>
      </c>
      <c r="L297">
        <v>43703</v>
      </c>
    </row>
    <row r="298" spans="1:12" x14ac:dyDescent="0.35">
      <c r="A298" t="s">
        <v>223</v>
      </c>
      <c r="B298" t="s">
        <v>248</v>
      </c>
      <c r="C298" t="s">
        <v>236</v>
      </c>
      <c r="D298" t="s">
        <v>155</v>
      </c>
      <c r="F298">
        <v>8</v>
      </c>
      <c r="G298">
        <v>4</v>
      </c>
      <c r="H298">
        <v>43474</v>
      </c>
      <c r="I298">
        <v>43474</v>
      </c>
    </row>
    <row r="299" spans="1:12" x14ac:dyDescent="0.35">
      <c r="A299" t="s">
        <v>219</v>
      </c>
      <c r="B299" t="s">
        <v>247</v>
      </c>
      <c r="C299" t="s">
        <v>246</v>
      </c>
      <c r="D299" t="s">
        <v>155</v>
      </c>
      <c r="F299" t="s">
        <v>153</v>
      </c>
      <c r="G299">
        <v>11</v>
      </c>
      <c r="H299">
        <v>43480</v>
      </c>
      <c r="I299">
        <v>43480</v>
      </c>
      <c r="J299">
        <v>43496</v>
      </c>
      <c r="K299" t="s">
        <v>238</v>
      </c>
      <c r="L299">
        <v>43703</v>
      </c>
    </row>
    <row r="300" spans="1:12" x14ac:dyDescent="0.35">
      <c r="A300" t="s">
        <v>223</v>
      </c>
      <c r="B300" t="s">
        <v>247</v>
      </c>
      <c r="C300" t="s">
        <v>245</v>
      </c>
      <c r="D300" t="s">
        <v>155</v>
      </c>
      <c r="F300" t="s">
        <v>153</v>
      </c>
      <c r="G300">
        <v>3</v>
      </c>
      <c r="H300">
        <v>43480</v>
      </c>
      <c r="I300">
        <v>43480</v>
      </c>
    </row>
    <row r="301" spans="1:12" x14ac:dyDescent="0.35">
      <c r="A301" t="s">
        <v>219</v>
      </c>
      <c r="B301" t="s">
        <v>248</v>
      </c>
      <c r="C301" t="s">
        <v>237</v>
      </c>
      <c r="D301" t="s">
        <v>155</v>
      </c>
      <c r="F301">
        <v>49.12301148163484</v>
      </c>
      <c r="G301">
        <v>24.56150574081742</v>
      </c>
      <c r="H301">
        <v>43480</v>
      </c>
      <c r="I301">
        <v>43480</v>
      </c>
      <c r="J301">
        <v>43496</v>
      </c>
      <c r="K301" t="s">
        <v>238</v>
      </c>
      <c r="L301">
        <v>43703</v>
      </c>
    </row>
    <row r="302" spans="1:12" x14ac:dyDescent="0.35">
      <c r="A302" t="s">
        <v>223</v>
      </c>
      <c r="B302" t="s">
        <v>248</v>
      </c>
      <c r="C302" t="s">
        <v>237</v>
      </c>
      <c r="D302" t="s">
        <v>155</v>
      </c>
      <c r="F302">
        <v>3.2555121287468616</v>
      </c>
      <c r="G302">
        <v>1.6277560643734308</v>
      </c>
      <c r="H302">
        <v>43480</v>
      </c>
      <c r="I302">
        <v>43480</v>
      </c>
    </row>
    <row r="303" spans="1:12" x14ac:dyDescent="0.35">
      <c r="A303" t="s">
        <v>219</v>
      </c>
      <c r="B303" t="s">
        <v>249</v>
      </c>
      <c r="C303" t="s">
        <v>250</v>
      </c>
      <c r="D303" t="s">
        <v>155</v>
      </c>
      <c r="F303">
        <v>4</v>
      </c>
      <c r="G303">
        <v>1.6277560643734308</v>
      </c>
      <c r="H303">
        <v>43494</v>
      </c>
      <c r="I303">
        <v>43494</v>
      </c>
      <c r="J303">
        <v>43563</v>
      </c>
      <c r="K303" t="s">
        <v>251</v>
      </c>
      <c r="L303">
        <v>43703</v>
      </c>
    </row>
    <row r="304" spans="1:12" x14ac:dyDescent="0.35">
      <c r="A304" t="s">
        <v>219</v>
      </c>
      <c r="B304" t="s">
        <v>249</v>
      </c>
      <c r="C304" t="s">
        <v>242</v>
      </c>
      <c r="D304" t="s">
        <v>243</v>
      </c>
      <c r="F304">
        <v>61</v>
      </c>
      <c r="G304">
        <v>30</v>
      </c>
      <c r="H304">
        <v>43502</v>
      </c>
      <c r="I304">
        <v>43502</v>
      </c>
      <c r="J304">
        <v>43563</v>
      </c>
      <c r="K304" t="s">
        <v>251</v>
      </c>
      <c r="L304">
        <v>43703</v>
      </c>
    </row>
    <row r="305" spans="1:12" x14ac:dyDescent="0.35">
      <c r="A305" t="s">
        <v>223</v>
      </c>
      <c r="B305" t="s">
        <v>248</v>
      </c>
      <c r="C305" t="s">
        <v>122</v>
      </c>
      <c r="D305" t="s">
        <v>155</v>
      </c>
      <c r="F305">
        <v>14</v>
      </c>
      <c r="G305">
        <v>8</v>
      </c>
      <c r="H305">
        <v>43503</v>
      </c>
      <c r="I305">
        <v>43504</v>
      </c>
      <c r="J305">
        <v>43563</v>
      </c>
      <c r="K305" t="s">
        <v>252</v>
      </c>
    </row>
    <row r="306" spans="1:12" x14ac:dyDescent="0.35">
      <c r="A306" t="s">
        <v>219</v>
      </c>
      <c r="B306" t="s">
        <v>253</v>
      </c>
      <c r="C306" t="s">
        <v>254</v>
      </c>
      <c r="D306" t="s">
        <v>155</v>
      </c>
      <c r="F306">
        <v>157.96265539045339</v>
      </c>
      <c r="G306">
        <v>78.981327695226696</v>
      </c>
      <c r="H306">
        <v>43504</v>
      </c>
      <c r="I306">
        <v>43563</v>
      </c>
      <c r="J306">
        <v>43563</v>
      </c>
      <c r="K306" t="s">
        <v>251</v>
      </c>
      <c r="L306">
        <v>43703</v>
      </c>
    </row>
    <row r="307" spans="1:12" x14ac:dyDescent="0.35">
      <c r="A307" t="s">
        <v>157</v>
      </c>
      <c r="B307" t="s">
        <v>253</v>
      </c>
      <c r="C307" t="s">
        <v>254</v>
      </c>
      <c r="D307" t="s">
        <v>155</v>
      </c>
      <c r="F307">
        <v>36432.12492653443</v>
      </c>
      <c r="G307" t="s">
        <v>153</v>
      </c>
      <c r="H307">
        <v>43504</v>
      </c>
      <c r="I307">
        <v>43563</v>
      </c>
    </row>
    <row r="308" spans="1:12" x14ac:dyDescent="0.35">
      <c r="A308" t="s">
        <v>206</v>
      </c>
      <c r="B308" t="s">
        <v>253</v>
      </c>
      <c r="C308" t="s">
        <v>254</v>
      </c>
      <c r="D308" t="s">
        <v>155</v>
      </c>
      <c r="F308">
        <v>7.9373893332526935</v>
      </c>
      <c r="G308">
        <v>3.9686946666263467</v>
      </c>
      <c r="H308">
        <v>43504</v>
      </c>
      <c r="I308">
        <v>43563</v>
      </c>
    </row>
    <row r="309" spans="1:12" x14ac:dyDescent="0.35">
      <c r="A309" t="s">
        <v>211</v>
      </c>
      <c r="B309" t="s">
        <v>253</v>
      </c>
      <c r="C309" t="s">
        <v>254</v>
      </c>
      <c r="D309" t="s">
        <v>155</v>
      </c>
      <c r="F309">
        <v>364.04769154196703</v>
      </c>
      <c r="G309">
        <v>182.02384577098351</v>
      </c>
      <c r="H309">
        <v>43504</v>
      </c>
      <c r="I309">
        <v>43504</v>
      </c>
      <c r="J309">
        <v>43563</v>
      </c>
      <c r="K309" t="s">
        <v>251</v>
      </c>
      <c r="L309">
        <v>43817</v>
      </c>
    </row>
    <row r="310" spans="1:12" x14ac:dyDescent="0.35">
      <c r="A310" t="s">
        <v>152</v>
      </c>
      <c r="B310" t="s">
        <v>253</v>
      </c>
      <c r="C310" t="s">
        <v>254</v>
      </c>
      <c r="D310" t="s">
        <v>155</v>
      </c>
      <c r="F310">
        <v>55361.081165981857</v>
      </c>
      <c r="G310" t="s">
        <v>153</v>
      </c>
      <c r="H310">
        <v>43504</v>
      </c>
      <c r="I310">
        <v>43563</v>
      </c>
    </row>
    <row r="311" spans="1:12" x14ac:dyDescent="0.35">
      <c r="A311" t="s">
        <v>185</v>
      </c>
      <c r="B311" t="s">
        <v>253</v>
      </c>
      <c r="C311" t="s">
        <v>254</v>
      </c>
      <c r="D311" t="s">
        <v>155</v>
      </c>
      <c r="F311">
        <v>1.4218449783150229</v>
      </c>
      <c r="G311">
        <v>0.71092248915751144</v>
      </c>
      <c r="H311">
        <v>43504</v>
      </c>
      <c r="I311">
        <v>43563</v>
      </c>
    </row>
    <row r="312" spans="1:12" x14ac:dyDescent="0.35">
      <c r="A312" t="s">
        <v>208</v>
      </c>
      <c r="B312" t="s">
        <v>253</v>
      </c>
      <c r="C312" t="s">
        <v>254</v>
      </c>
      <c r="D312" t="s">
        <v>155</v>
      </c>
      <c r="F312">
        <v>710.84340230526277</v>
      </c>
      <c r="G312">
        <v>355.42170115263139</v>
      </c>
      <c r="H312">
        <v>43504</v>
      </c>
      <c r="I312">
        <v>43563</v>
      </c>
      <c r="J312">
        <v>43563</v>
      </c>
      <c r="K312" t="s">
        <v>251</v>
      </c>
    </row>
    <row r="313" spans="1:12" x14ac:dyDescent="0.35">
      <c r="A313" t="s">
        <v>255</v>
      </c>
      <c r="B313" t="s">
        <v>253</v>
      </c>
      <c r="C313" t="s">
        <v>254</v>
      </c>
      <c r="D313" t="s">
        <v>155</v>
      </c>
      <c r="F313">
        <v>0.16120067879759398</v>
      </c>
      <c r="G313" t="s">
        <v>153</v>
      </c>
      <c r="H313">
        <v>43504</v>
      </c>
      <c r="I313">
        <v>43563</v>
      </c>
    </row>
    <row r="314" spans="1:12" x14ac:dyDescent="0.35">
      <c r="A314" t="s">
        <v>209</v>
      </c>
      <c r="B314" t="s">
        <v>253</v>
      </c>
      <c r="C314" t="s">
        <v>254</v>
      </c>
      <c r="D314" t="s">
        <v>155</v>
      </c>
      <c r="F314">
        <v>1375.3546788775786</v>
      </c>
      <c r="G314">
        <f>F314/2</f>
        <v>687.67733943878932</v>
      </c>
      <c r="H314">
        <v>43504</v>
      </c>
      <c r="I314">
        <v>43563</v>
      </c>
      <c r="J314">
        <v>43563</v>
      </c>
      <c r="K314" t="s">
        <v>251</v>
      </c>
    </row>
    <row r="315" spans="1:12" x14ac:dyDescent="0.35">
      <c r="A315" t="s">
        <v>158</v>
      </c>
      <c r="B315" t="s">
        <v>253</v>
      </c>
      <c r="C315" t="s">
        <v>254</v>
      </c>
      <c r="D315" t="s">
        <v>155</v>
      </c>
      <c r="F315">
        <v>32008.94713711035</v>
      </c>
      <c r="G315" t="s">
        <v>153</v>
      </c>
      <c r="H315">
        <v>43504</v>
      </c>
      <c r="I315">
        <v>43563</v>
      </c>
    </row>
    <row r="316" spans="1:12" x14ac:dyDescent="0.35">
      <c r="A316" t="s">
        <v>210</v>
      </c>
      <c r="B316" t="s">
        <v>253</v>
      </c>
      <c r="C316" t="s">
        <v>254</v>
      </c>
      <c r="D316" t="s">
        <v>155</v>
      </c>
      <c r="F316">
        <v>286.47921807684691</v>
      </c>
      <c r="G316">
        <v>85.94376542305406</v>
      </c>
      <c r="H316">
        <v>43504</v>
      </c>
      <c r="I316">
        <v>43563</v>
      </c>
      <c r="J316">
        <v>43563</v>
      </c>
      <c r="K316" t="s">
        <v>251</v>
      </c>
    </row>
    <row r="317" spans="1:12" x14ac:dyDescent="0.35">
      <c r="A317" t="s">
        <v>229</v>
      </c>
      <c r="B317" t="s">
        <v>253</v>
      </c>
      <c r="C317" t="s">
        <v>254</v>
      </c>
      <c r="D317" t="s">
        <v>155</v>
      </c>
      <c r="F317">
        <v>62.183522995773053</v>
      </c>
      <c r="G317">
        <v>31.091761497886527</v>
      </c>
      <c r="H317">
        <v>43504</v>
      </c>
      <c r="I317">
        <v>43504</v>
      </c>
      <c r="J317">
        <v>43563</v>
      </c>
      <c r="K317" t="s">
        <v>251</v>
      </c>
    </row>
    <row r="318" spans="1:12" x14ac:dyDescent="0.35">
      <c r="A318" t="s">
        <v>159</v>
      </c>
      <c r="B318" t="s">
        <v>253</v>
      </c>
      <c r="C318" t="s">
        <v>254</v>
      </c>
      <c r="D318" t="s">
        <v>155</v>
      </c>
      <c r="F318">
        <v>17639.05778985918</v>
      </c>
      <c r="G318">
        <v>8819.52889492959</v>
      </c>
      <c r="H318">
        <v>43504</v>
      </c>
      <c r="I318">
        <v>43563</v>
      </c>
    </row>
    <row r="319" spans="1:12" x14ac:dyDescent="0.35">
      <c r="A319" t="s">
        <v>230</v>
      </c>
      <c r="B319" t="s">
        <v>253</v>
      </c>
      <c r="C319" t="s">
        <v>254</v>
      </c>
      <c r="D319" t="s">
        <v>155</v>
      </c>
      <c r="F319">
        <v>21.227348502589294</v>
      </c>
      <c r="G319">
        <v>10.613674251294647</v>
      </c>
      <c r="H319">
        <v>43504</v>
      </c>
      <c r="I319">
        <v>43563</v>
      </c>
      <c r="J319">
        <v>43563</v>
      </c>
      <c r="K319" t="s">
        <v>251</v>
      </c>
    </row>
    <row r="320" spans="1:12" x14ac:dyDescent="0.35">
      <c r="A320" t="s">
        <v>30</v>
      </c>
      <c r="B320" t="s">
        <v>253</v>
      </c>
      <c r="C320" t="s">
        <v>254</v>
      </c>
      <c r="D320" t="s">
        <v>155</v>
      </c>
      <c r="F320">
        <v>15995.880865225801</v>
      </c>
      <c r="G320">
        <v>7997.9404326129006</v>
      </c>
      <c r="H320">
        <v>43504</v>
      </c>
      <c r="I320">
        <v>43504</v>
      </c>
      <c r="J320">
        <v>43563</v>
      </c>
      <c r="K320" t="s">
        <v>251</v>
      </c>
    </row>
    <row r="321" spans="1:12" x14ac:dyDescent="0.35">
      <c r="A321" t="s">
        <v>212</v>
      </c>
      <c r="B321" t="s">
        <v>253</v>
      </c>
      <c r="C321" t="s">
        <v>254</v>
      </c>
      <c r="D321" t="s">
        <v>155</v>
      </c>
      <c r="F321">
        <v>3412.8496642092109</v>
      </c>
      <c r="G321">
        <v>1706.4248321046055</v>
      </c>
      <c r="H321">
        <v>43504</v>
      </c>
      <c r="I321">
        <v>43563</v>
      </c>
      <c r="J321">
        <v>43563</v>
      </c>
      <c r="K321" t="s">
        <v>251</v>
      </c>
    </row>
    <row r="322" spans="1:12" x14ac:dyDescent="0.35">
      <c r="A322" t="s">
        <v>78</v>
      </c>
      <c r="B322" t="s">
        <v>253</v>
      </c>
      <c r="C322" t="s">
        <v>254</v>
      </c>
      <c r="D322" t="s">
        <v>155</v>
      </c>
      <c r="F322">
        <v>18914.620652097787</v>
      </c>
      <c r="G322">
        <v>9457.3103260488933</v>
      </c>
      <c r="H322">
        <v>43504</v>
      </c>
      <c r="I322">
        <v>43563</v>
      </c>
    </row>
    <row r="323" spans="1:12" x14ac:dyDescent="0.35">
      <c r="A323" t="s">
        <v>256</v>
      </c>
      <c r="B323" t="s">
        <v>253</v>
      </c>
      <c r="C323" t="s">
        <v>254</v>
      </c>
      <c r="D323" t="s">
        <v>155</v>
      </c>
      <c r="F323">
        <v>59.087980791655568</v>
      </c>
      <c r="G323" t="s">
        <v>153</v>
      </c>
      <c r="H323">
        <v>43504</v>
      </c>
      <c r="I323">
        <v>43563</v>
      </c>
    </row>
    <row r="324" spans="1:12" x14ac:dyDescent="0.35">
      <c r="A324" t="s">
        <v>213</v>
      </c>
      <c r="B324" t="s">
        <v>253</v>
      </c>
      <c r="C324" t="s">
        <v>254</v>
      </c>
      <c r="D324" t="s">
        <v>155</v>
      </c>
      <c r="F324">
        <v>114.16398267794369</v>
      </c>
      <c r="G324">
        <v>34.249194803383112</v>
      </c>
      <c r="H324">
        <v>43504</v>
      </c>
      <c r="I324">
        <v>43563</v>
      </c>
      <c r="J324">
        <v>43563</v>
      </c>
      <c r="K324" t="s">
        <v>251</v>
      </c>
      <c r="L324">
        <v>43677</v>
      </c>
    </row>
    <row r="325" spans="1:12" x14ac:dyDescent="0.35">
      <c r="A325" t="s">
        <v>160</v>
      </c>
      <c r="B325" t="s">
        <v>253</v>
      </c>
      <c r="C325" t="s">
        <v>254</v>
      </c>
      <c r="D325" t="s">
        <v>155</v>
      </c>
      <c r="F325">
        <v>5135.0295305793779</v>
      </c>
      <c r="G325" t="s">
        <v>153</v>
      </c>
      <c r="H325">
        <v>43504</v>
      </c>
      <c r="I325">
        <v>43563</v>
      </c>
    </row>
    <row r="326" spans="1:12" x14ac:dyDescent="0.35">
      <c r="A326" t="s">
        <v>120</v>
      </c>
      <c r="B326" t="s">
        <v>253</v>
      </c>
      <c r="C326" t="s">
        <v>254</v>
      </c>
      <c r="D326" t="s">
        <v>155</v>
      </c>
      <c r="F326">
        <v>2547.7940492336784</v>
      </c>
      <c r="G326" t="s">
        <v>153</v>
      </c>
      <c r="H326">
        <v>43504</v>
      </c>
      <c r="I326">
        <v>43563</v>
      </c>
    </row>
    <row r="327" spans="1:12" x14ac:dyDescent="0.35">
      <c r="A327" t="s">
        <v>190</v>
      </c>
      <c r="B327" t="s">
        <v>253</v>
      </c>
      <c r="C327" t="s">
        <v>254</v>
      </c>
      <c r="D327" t="s">
        <v>155</v>
      </c>
      <c r="F327">
        <v>413.37167770675097</v>
      </c>
      <c r="G327">
        <v>206.68583885337549</v>
      </c>
      <c r="H327">
        <v>43504</v>
      </c>
      <c r="I327">
        <v>43504</v>
      </c>
      <c r="J327">
        <v>43563</v>
      </c>
      <c r="K327" t="s">
        <v>251</v>
      </c>
    </row>
    <row r="328" spans="1:12" x14ac:dyDescent="0.35">
      <c r="A328" t="s">
        <v>161</v>
      </c>
      <c r="B328" t="s">
        <v>253</v>
      </c>
      <c r="C328" t="s">
        <v>254</v>
      </c>
      <c r="D328" t="s">
        <v>155</v>
      </c>
      <c r="F328">
        <v>7.8577480863388054</v>
      </c>
      <c r="G328">
        <v>3.9288740431694027</v>
      </c>
      <c r="H328">
        <v>43504</v>
      </c>
      <c r="I328">
        <v>43563</v>
      </c>
    </row>
    <row r="329" spans="1:12" x14ac:dyDescent="0.35">
      <c r="A329" t="s">
        <v>162</v>
      </c>
      <c r="B329" t="s">
        <v>253</v>
      </c>
      <c r="C329" t="s">
        <v>254</v>
      </c>
      <c r="D329" t="s">
        <v>155</v>
      </c>
      <c r="F329">
        <v>12559.767869482166</v>
      </c>
      <c r="G329">
        <v>7535.8607216892979</v>
      </c>
      <c r="H329">
        <v>43504</v>
      </c>
      <c r="I329">
        <v>43563</v>
      </c>
      <c r="J329">
        <v>43563</v>
      </c>
      <c r="K329" t="s">
        <v>251</v>
      </c>
      <c r="L329">
        <v>43703</v>
      </c>
    </row>
    <row r="330" spans="1:12" x14ac:dyDescent="0.35">
      <c r="A330" t="s">
        <v>257</v>
      </c>
      <c r="B330" t="s">
        <v>253</v>
      </c>
      <c r="C330" t="s">
        <v>254</v>
      </c>
      <c r="D330" t="s">
        <v>155</v>
      </c>
      <c r="F330">
        <v>40.522137194528199</v>
      </c>
      <c r="G330" t="s">
        <v>153</v>
      </c>
      <c r="H330">
        <v>43504</v>
      </c>
      <c r="I330">
        <v>43563</v>
      </c>
    </row>
    <row r="331" spans="1:12" x14ac:dyDescent="0.35">
      <c r="A331" t="s">
        <v>214</v>
      </c>
      <c r="B331" t="s">
        <v>253</v>
      </c>
      <c r="C331" t="s">
        <v>254</v>
      </c>
      <c r="D331" t="s">
        <v>155</v>
      </c>
      <c r="F331">
        <v>2.8627488244244059</v>
      </c>
      <c r="G331">
        <v>1.431374412212203</v>
      </c>
      <c r="H331">
        <v>43504</v>
      </c>
      <c r="I331">
        <v>43563</v>
      </c>
      <c r="J331">
        <v>43563</v>
      </c>
      <c r="K331" t="s">
        <v>251</v>
      </c>
    </row>
    <row r="332" spans="1:12" x14ac:dyDescent="0.35">
      <c r="A332" t="s">
        <v>82</v>
      </c>
      <c r="B332" t="s">
        <v>253</v>
      </c>
      <c r="C332" t="s">
        <v>254</v>
      </c>
      <c r="D332" t="s">
        <v>155</v>
      </c>
      <c r="F332">
        <v>26596.011280243485</v>
      </c>
      <c r="G332">
        <v>13298.005640121743</v>
      </c>
      <c r="H332">
        <v>43504</v>
      </c>
      <c r="I332">
        <v>43563</v>
      </c>
      <c r="J332">
        <v>43563</v>
      </c>
      <c r="K332" t="s">
        <v>251</v>
      </c>
    </row>
    <row r="333" spans="1:12" x14ac:dyDescent="0.35">
      <c r="A333" t="s">
        <v>151</v>
      </c>
      <c r="B333" t="s">
        <v>253</v>
      </c>
      <c r="C333" t="s">
        <v>254</v>
      </c>
      <c r="D333" t="s">
        <v>155</v>
      </c>
      <c r="F333">
        <v>703488.36283732252</v>
      </c>
      <c r="G333">
        <v>422093.01770239347</v>
      </c>
      <c r="H333">
        <v>43504</v>
      </c>
      <c r="I333">
        <v>43563</v>
      </c>
    </row>
    <row r="334" spans="1:12" x14ac:dyDescent="0.35">
      <c r="A334" t="s">
        <v>215</v>
      </c>
      <c r="B334" t="s">
        <v>253</v>
      </c>
      <c r="C334" t="s">
        <v>254</v>
      </c>
      <c r="D334" t="s">
        <v>155</v>
      </c>
      <c r="F334">
        <v>14.869460584051598</v>
      </c>
      <c r="G334">
        <v>7.4347302920257992</v>
      </c>
      <c r="H334">
        <v>43504</v>
      </c>
      <c r="I334">
        <v>43563</v>
      </c>
      <c r="J334">
        <v>43563</v>
      </c>
      <c r="K334" t="s">
        <v>251</v>
      </c>
    </row>
    <row r="335" spans="1:12" x14ac:dyDescent="0.35">
      <c r="A335" t="s">
        <v>183</v>
      </c>
      <c r="B335" t="s">
        <v>253</v>
      </c>
      <c r="C335" t="s">
        <v>254</v>
      </c>
      <c r="D335" t="s">
        <v>155</v>
      </c>
      <c r="F335">
        <v>469645.62809222058</v>
      </c>
      <c r="G335" t="s">
        <v>153</v>
      </c>
      <c r="H335">
        <v>43504</v>
      </c>
      <c r="I335">
        <v>43563</v>
      </c>
    </row>
    <row r="336" spans="1:12" x14ac:dyDescent="0.35">
      <c r="A336" t="s">
        <v>186</v>
      </c>
      <c r="B336" t="s">
        <v>253</v>
      </c>
      <c r="C336" t="s">
        <v>254</v>
      </c>
      <c r="D336" t="s">
        <v>155</v>
      </c>
      <c r="F336">
        <v>412.63600616193185</v>
      </c>
      <c r="G336">
        <v>206.31800308096592</v>
      </c>
      <c r="H336">
        <v>43504</v>
      </c>
      <c r="I336">
        <v>43563</v>
      </c>
      <c r="J336">
        <v>43563</v>
      </c>
      <c r="K336" t="s">
        <v>251</v>
      </c>
    </row>
    <row r="337" spans="1:12" x14ac:dyDescent="0.35">
      <c r="A337" t="s">
        <v>258</v>
      </c>
      <c r="B337" t="s">
        <v>253</v>
      </c>
      <c r="C337" t="s">
        <v>254</v>
      </c>
      <c r="D337" t="s">
        <v>155</v>
      </c>
      <c r="F337">
        <v>23.087439361952782</v>
      </c>
      <c r="G337" t="s">
        <v>153</v>
      </c>
      <c r="H337">
        <v>43504</v>
      </c>
      <c r="I337">
        <v>43563</v>
      </c>
    </row>
    <row r="338" spans="1:12" x14ac:dyDescent="0.35">
      <c r="A338" t="s">
        <v>219</v>
      </c>
      <c r="B338" t="s">
        <v>259</v>
      </c>
      <c r="C338" t="s">
        <v>246</v>
      </c>
      <c r="D338" t="s">
        <v>155</v>
      </c>
      <c r="F338" t="s">
        <v>153</v>
      </c>
      <c r="G338">
        <v>14</v>
      </c>
      <c r="H338">
        <v>43511</v>
      </c>
      <c r="I338">
        <v>43511</v>
      </c>
      <c r="J338">
        <v>43563</v>
      </c>
      <c r="K338" t="s">
        <v>251</v>
      </c>
      <c r="L338">
        <v>43703</v>
      </c>
    </row>
    <row r="339" spans="1:12" x14ac:dyDescent="0.35">
      <c r="A339" t="s">
        <v>219</v>
      </c>
      <c r="B339" t="s">
        <v>259</v>
      </c>
      <c r="C339" t="s">
        <v>236</v>
      </c>
      <c r="D339" t="s">
        <v>155</v>
      </c>
      <c r="F339">
        <v>2</v>
      </c>
      <c r="G339">
        <v>1</v>
      </c>
      <c r="H339">
        <v>43511</v>
      </c>
      <c r="I339">
        <v>43511</v>
      </c>
      <c r="J339">
        <v>43563</v>
      </c>
      <c r="K339" t="s">
        <v>251</v>
      </c>
      <c r="L339">
        <v>43703</v>
      </c>
    </row>
    <row r="340" spans="1:12" x14ac:dyDescent="0.35">
      <c r="A340" t="s">
        <v>223</v>
      </c>
      <c r="B340" t="s">
        <v>259</v>
      </c>
      <c r="C340" t="s">
        <v>236</v>
      </c>
      <c r="D340" t="s">
        <v>155</v>
      </c>
      <c r="F340">
        <v>3</v>
      </c>
      <c r="G340">
        <v>2</v>
      </c>
      <c r="H340">
        <v>43511</v>
      </c>
      <c r="I340">
        <v>43511</v>
      </c>
      <c r="J340">
        <v>43563</v>
      </c>
      <c r="K340" t="s">
        <v>252</v>
      </c>
    </row>
    <row r="341" spans="1:12" x14ac:dyDescent="0.35">
      <c r="A341" t="s">
        <v>219</v>
      </c>
      <c r="B341" t="s">
        <v>260</v>
      </c>
      <c r="C341" t="s">
        <v>240</v>
      </c>
      <c r="D341" t="s">
        <v>155</v>
      </c>
      <c r="F341">
        <v>8</v>
      </c>
      <c r="G341">
        <v>4</v>
      </c>
      <c r="H341">
        <v>43531</v>
      </c>
      <c r="I341">
        <v>43531</v>
      </c>
      <c r="J341">
        <v>43563</v>
      </c>
      <c r="K341" t="s">
        <v>251</v>
      </c>
      <c r="L341">
        <v>43703</v>
      </c>
    </row>
    <row r="342" spans="1:12" x14ac:dyDescent="0.35">
      <c r="A342" t="s">
        <v>219</v>
      </c>
      <c r="B342" t="s">
        <v>261</v>
      </c>
      <c r="C342" t="s">
        <v>236</v>
      </c>
      <c r="D342" t="s">
        <v>155</v>
      </c>
      <c r="F342">
        <v>2</v>
      </c>
      <c r="G342">
        <v>1</v>
      </c>
      <c r="H342">
        <v>43543</v>
      </c>
      <c r="I342">
        <v>43558</v>
      </c>
      <c r="J342">
        <v>43563</v>
      </c>
      <c r="K342" t="s">
        <v>251</v>
      </c>
      <c r="L342">
        <v>43703</v>
      </c>
    </row>
    <row r="343" spans="1:12" x14ac:dyDescent="0.35">
      <c r="A343" t="s">
        <v>223</v>
      </c>
      <c r="B343" t="s">
        <v>261</v>
      </c>
      <c r="C343" t="s">
        <v>236</v>
      </c>
      <c r="D343" t="s">
        <v>155</v>
      </c>
      <c r="F343">
        <v>2</v>
      </c>
      <c r="G343">
        <v>1</v>
      </c>
      <c r="H343">
        <v>43543</v>
      </c>
      <c r="I343">
        <v>43558</v>
      </c>
    </row>
    <row r="344" spans="1:12" x14ac:dyDescent="0.35">
      <c r="A344" t="s">
        <v>219</v>
      </c>
      <c r="B344" t="s">
        <v>259</v>
      </c>
      <c r="C344" t="s">
        <v>237</v>
      </c>
      <c r="D344" t="s">
        <v>155</v>
      </c>
      <c r="F344">
        <v>18</v>
      </c>
      <c r="G344">
        <v>9</v>
      </c>
      <c r="H344">
        <v>43544</v>
      </c>
      <c r="I344">
        <v>43558</v>
      </c>
      <c r="J344">
        <v>43563</v>
      </c>
      <c r="K344" t="s">
        <v>251</v>
      </c>
      <c r="L344">
        <v>43703</v>
      </c>
    </row>
    <row r="345" spans="1:12" x14ac:dyDescent="0.35">
      <c r="A345" t="s">
        <v>223</v>
      </c>
      <c r="B345" t="s">
        <v>259</v>
      </c>
      <c r="C345" t="s">
        <v>237</v>
      </c>
      <c r="D345" t="s">
        <v>155</v>
      </c>
      <c r="F345">
        <v>1</v>
      </c>
      <c r="G345">
        <v>1</v>
      </c>
      <c r="H345">
        <v>43544</v>
      </c>
      <c r="I345">
        <v>43558</v>
      </c>
      <c r="J345">
        <v>43563</v>
      </c>
      <c r="K345" t="s">
        <v>252</v>
      </c>
    </row>
    <row r="346" spans="1:12" x14ac:dyDescent="0.35">
      <c r="A346" t="s">
        <v>219</v>
      </c>
      <c r="B346" t="s">
        <v>261</v>
      </c>
      <c r="C346" t="s">
        <v>250</v>
      </c>
      <c r="D346" t="s">
        <v>155</v>
      </c>
      <c r="F346">
        <v>2</v>
      </c>
      <c r="G346">
        <v>1</v>
      </c>
      <c r="H346">
        <v>43544</v>
      </c>
      <c r="I346">
        <v>43558</v>
      </c>
      <c r="J346">
        <v>43563</v>
      </c>
      <c r="K346" t="s">
        <v>251</v>
      </c>
      <c r="L346">
        <v>43703</v>
      </c>
    </row>
    <row r="347" spans="1:12" x14ac:dyDescent="0.35">
      <c r="A347" t="s">
        <v>219</v>
      </c>
      <c r="B347" t="s">
        <v>262</v>
      </c>
      <c r="C347" t="s">
        <v>236</v>
      </c>
      <c r="D347" t="s">
        <v>155</v>
      </c>
      <c r="F347">
        <v>0</v>
      </c>
      <c r="G347">
        <v>0</v>
      </c>
      <c r="H347">
        <v>43558</v>
      </c>
      <c r="I347">
        <v>43558</v>
      </c>
      <c r="J347">
        <v>43623</v>
      </c>
      <c r="K347" t="s">
        <v>263</v>
      </c>
      <c r="L347">
        <v>43703</v>
      </c>
    </row>
    <row r="348" spans="1:12" x14ac:dyDescent="0.35">
      <c r="A348" t="s">
        <v>223</v>
      </c>
      <c r="B348" t="s">
        <v>262</v>
      </c>
      <c r="C348" t="s">
        <v>236</v>
      </c>
      <c r="D348" t="s">
        <v>155</v>
      </c>
      <c r="F348">
        <v>1</v>
      </c>
      <c r="G348">
        <v>1</v>
      </c>
      <c r="H348">
        <v>43558</v>
      </c>
      <c r="I348">
        <v>43558</v>
      </c>
    </row>
    <row r="349" spans="1:12" x14ac:dyDescent="0.35">
      <c r="A349" t="s">
        <v>219</v>
      </c>
      <c r="B349" t="s">
        <v>262</v>
      </c>
      <c r="C349" t="s">
        <v>250</v>
      </c>
      <c r="D349" t="s">
        <v>155</v>
      </c>
      <c r="F349">
        <v>1</v>
      </c>
      <c r="G349">
        <v>1</v>
      </c>
      <c r="H349">
        <v>43567</v>
      </c>
      <c r="I349">
        <v>43568</v>
      </c>
      <c r="J349">
        <v>43623</v>
      </c>
      <c r="K349" t="s">
        <v>263</v>
      </c>
      <c r="L349">
        <v>43703</v>
      </c>
    </row>
    <row r="350" spans="1:12" x14ac:dyDescent="0.35">
      <c r="A350" t="s">
        <v>223</v>
      </c>
      <c r="B350" t="s">
        <v>262</v>
      </c>
      <c r="C350" t="s">
        <v>245</v>
      </c>
      <c r="D350" t="s">
        <v>155</v>
      </c>
      <c r="F350" t="s">
        <v>153</v>
      </c>
      <c r="G350">
        <v>1</v>
      </c>
      <c r="H350">
        <v>43572</v>
      </c>
      <c r="I350">
        <v>43572</v>
      </c>
    </row>
    <row r="351" spans="1:12" x14ac:dyDescent="0.35">
      <c r="A351" t="s">
        <v>219</v>
      </c>
      <c r="B351" t="s">
        <v>262</v>
      </c>
      <c r="C351" t="s">
        <v>246</v>
      </c>
      <c r="D351" t="s">
        <v>155</v>
      </c>
      <c r="F351" t="s">
        <v>153</v>
      </c>
      <c r="G351">
        <v>5</v>
      </c>
      <c r="H351">
        <v>43572</v>
      </c>
      <c r="I351">
        <v>43572</v>
      </c>
      <c r="J351">
        <v>43623</v>
      </c>
      <c r="K351" t="s">
        <v>263</v>
      </c>
      <c r="L351">
        <v>43703</v>
      </c>
    </row>
    <row r="352" spans="1:12" x14ac:dyDescent="0.35">
      <c r="A352" t="s">
        <v>219</v>
      </c>
      <c r="B352" t="s">
        <v>262</v>
      </c>
      <c r="C352" t="s">
        <v>240</v>
      </c>
      <c r="D352" t="s">
        <v>155</v>
      </c>
      <c r="F352">
        <v>2.52024209499359</v>
      </c>
      <c r="G352">
        <v>1.260121047496795</v>
      </c>
      <c r="H352">
        <v>43594</v>
      </c>
      <c r="I352">
        <v>43594</v>
      </c>
      <c r="J352">
        <v>43623</v>
      </c>
      <c r="K352" t="s">
        <v>263</v>
      </c>
      <c r="L352">
        <v>43703</v>
      </c>
    </row>
    <row r="353" spans="1:12" x14ac:dyDescent="0.35">
      <c r="A353" t="s">
        <v>219</v>
      </c>
      <c r="B353" t="s">
        <v>264</v>
      </c>
      <c r="C353" t="s">
        <v>254</v>
      </c>
      <c r="D353" t="s">
        <v>155</v>
      </c>
      <c r="F353">
        <v>193.89077968360982</v>
      </c>
      <c r="G353">
        <v>96.945389841804911</v>
      </c>
      <c r="H353">
        <v>43581</v>
      </c>
      <c r="I353">
        <v>43609</v>
      </c>
      <c r="J353">
        <v>43623</v>
      </c>
      <c r="K353" t="s">
        <v>263</v>
      </c>
      <c r="L353">
        <v>43703</v>
      </c>
    </row>
    <row r="354" spans="1:12" x14ac:dyDescent="0.35">
      <c r="A354" t="s">
        <v>157</v>
      </c>
      <c r="B354" t="s">
        <v>264</v>
      </c>
      <c r="C354" t="s">
        <v>254</v>
      </c>
      <c r="D354" t="s">
        <v>155</v>
      </c>
      <c r="F354">
        <v>94952.30602001441</v>
      </c>
      <c r="G354" t="s">
        <v>153</v>
      </c>
      <c r="H354">
        <v>43581</v>
      </c>
      <c r="I354">
        <v>43609</v>
      </c>
    </row>
    <row r="355" spans="1:12" x14ac:dyDescent="0.35">
      <c r="A355" t="s">
        <v>211</v>
      </c>
      <c r="B355" t="s">
        <v>264</v>
      </c>
      <c r="C355" t="s">
        <v>254</v>
      </c>
      <c r="D355" t="s">
        <v>155</v>
      </c>
      <c r="F355">
        <v>44</v>
      </c>
      <c r="G355">
        <v>22</v>
      </c>
      <c r="H355">
        <v>43581</v>
      </c>
      <c r="I355">
        <v>43609</v>
      </c>
      <c r="J355">
        <v>43623</v>
      </c>
      <c r="K355" t="s">
        <v>263</v>
      </c>
      <c r="L355">
        <v>43817</v>
      </c>
    </row>
    <row r="356" spans="1:12" x14ac:dyDescent="0.35">
      <c r="A356" t="s">
        <v>152</v>
      </c>
      <c r="B356" t="s">
        <v>264</v>
      </c>
      <c r="C356" t="s">
        <v>254</v>
      </c>
      <c r="D356" t="s">
        <v>155</v>
      </c>
      <c r="F356">
        <v>17986.031319773585</v>
      </c>
      <c r="G356" t="s">
        <v>153</v>
      </c>
      <c r="H356">
        <v>43581</v>
      </c>
      <c r="I356">
        <v>43609</v>
      </c>
    </row>
    <row r="357" spans="1:12" x14ac:dyDescent="0.35">
      <c r="A357" t="s">
        <v>265</v>
      </c>
      <c r="B357" t="s">
        <v>264</v>
      </c>
      <c r="C357" t="s">
        <v>254</v>
      </c>
      <c r="D357" t="s">
        <v>155</v>
      </c>
      <c r="F357">
        <v>45.685650853123981</v>
      </c>
      <c r="G357">
        <v>22.842825426561991</v>
      </c>
      <c r="H357">
        <v>43581</v>
      </c>
      <c r="I357">
        <v>43609</v>
      </c>
      <c r="L357">
        <v>43812</v>
      </c>
    </row>
    <row r="358" spans="1:12" x14ac:dyDescent="0.35">
      <c r="A358" t="s">
        <v>208</v>
      </c>
      <c r="B358" t="s">
        <v>264</v>
      </c>
      <c r="C358" t="s">
        <v>254</v>
      </c>
      <c r="D358" t="s">
        <v>155</v>
      </c>
      <c r="F358">
        <v>372.27505097492161</v>
      </c>
      <c r="G358">
        <v>186.13752548746081</v>
      </c>
      <c r="H358">
        <v>43581</v>
      </c>
      <c r="I358">
        <v>43609</v>
      </c>
    </row>
    <row r="359" spans="1:12" x14ac:dyDescent="0.35">
      <c r="A359" t="s">
        <v>209</v>
      </c>
      <c r="B359" t="s">
        <v>264</v>
      </c>
      <c r="C359" t="s">
        <v>254</v>
      </c>
      <c r="D359" t="s">
        <v>155</v>
      </c>
      <c r="F359">
        <v>466.63527523971715</v>
      </c>
      <c r="G359">
        <v>233.31763761985857</v>
      </c>
      <c r="H359">
        <v>43581</v>
      </c>
      <c r="I359">
        <v>43609</v>
      </c>
      <c r="J359">
        <v>43623</v>
      </c>
      <c r="K359" t="s">
        <v>263</v>
      </c>
    </row>
    <row r="360" spans="1:12" x14ac:dyDescent="0.35">
      <c r="A360" t="s">
        <v>158</v>
      </c>
      <c r="B360" t="s">
        <v>264</v>
      </c>
      <c r="C360" t="s">
        <v>254</v>
      </c>
      <c r="D360" t="s">
        <v>155</v>
      </c>
      <c r="F360">
        <v>46021.632583809449</v>
      </c>
      <c r="G360" t="s">
        <v>153</v>
      </c>
      <c r="H360">
        <v>43581</v>
      </c>
      <c r="I360">
        <v>43609</v>
      </c>
    </row>
    <row r="361" spans="1:12" x14ac:dyDescent="0.35">
      <c r="A361" t="s">
        <v>210</v>
      </c>
      <c r="B361" t="s">
        <v>264</v>
      </c>
      <c r="C361" t="s">
        <v>254</v>
      </c>
      <c r="D361" t="s">
        <v>155</v>
      </c>
      <c r="F361">
        <v>72.533428486667489</v>
      </c>
      <c r="G361">
        <v>21.760028546000242</v>
      </c>
      <c r="H361">
        <v>43581</v>
      </c>
      <c r="I361">
        <v>43609</v>
      </c>
    </row>
    <row r="362" spans="1:12" x14ac:dyDescent="0.35">
      <c r="A362" t="s">
        <v>229</v>
      </c>
      <c r="B362" t="s">
        <v>264</v>
      </c>
      <c r="C362" t="s">
        <v>254</v>
      </c>
      <c r="D362" t="s">
        <v>155</v>
      </c>
      <c r="F362">
        <v>55.423316414567736</v>
      </c>
      <c r="G362">
        <v>27.711658207283868</v>
      </c>
      <c r="H362">
        <v>43581</v>
      </c>
      <c r="I362">
        <v>43609</v>
      </c>
      <c r="J362">
        <v>43623</v>
      </c>
      <c r="K362" t="s">
        <v>263</v>
      </c>
    </row>
    <row r="363" spans="1:12" x14ac:dyDescent="0.35">
      <c r="A363" t="s">
        <v>159</v>
      </c>
      <c r="B363" t="s">
        <v>264</v>
      </c>
      <c r="C363" t="s">
        <v>254</v>
      </c>
      <c r="D363" t="s">
        <v>155</v>
      </c>
      <c r="F363">
        <v>73280.788874633814</v>
      </c>
      <c r="G363" t="s">
        <v>153</v>
      </c>
      <c r="H363">
        <v>43581</v>
      </c>
      <c r="I363">
        <v>43609</v>
      </c>
    </row>
    <row r="364" spans="1:12" x14ac:dyDescent="0.35">
      <c r="A364" t="s">
        <v>230</v>
      </c>
      <c r="B364" t="s">
        <v>264</v>
      </c>
      <c r="C364" t="s">
        <v>254</v>
      </c>
      <c r="D364" t="s">
        <v>155</v>
      </c>
      <c r="F364">
        <v>14.963245225883361</v>
      </c>
      <c r="G364">
        <v>7.4816226129416803</v>
      </c>
      <c r="H364">
        <v>43581</v>
      </c>
      <c r="I364">
        <v>43609</v>
      </c>
    </row>
    <row r="365" spans="1:12" x14ac:dyDescent="0.35">
      <c r="A365" t="s">
        <v>30</v>
      </c>
      <c r="B365" t="s">
        <v>264</v>
      </c>
      <c r="C365" t="s">
        <v>254</v>
      </c>
      <c r="D365" t="s">
        <v>155</v>
      </c>
      <c r="F365">
        <v>16965.160705839779</v>
      </c>
      <c r="G365">
        <v>8482.5803529198893</v>
      </c>
      <c r="H365">
        <v>43581</v>
      </c>
      <c r="I365">
        <v>43609</v>
      </c>
    </row>
    <row r="366" spans="1:12" x14ac:dyDescent="0.35">
      <c r="A366" t="s">
        <v>212</v>
      </c>
      <c r="B366" t="s">
        <v>264</v>
      </c>
      <c r="C366" t="s">
        <v>254</v>
      </c>
      <c r="D366" t="s">
        <v>155</v>
      </c>
      <c r="F366">
        <v>1755.6768897213199</v>
      </c>
      <c r="G366">
        <v>877.83844486065993</v>
      </c>
      <c r="H366">
        <v>43581</v>
      </c>
      <c r="I366">
        <v>43609</v>
      </c>
    </row>
    <row r="367" spans="1:12" x14ac:dyDescent="0.35">
      <c r="A367" t="s">
        <v>78</v>
      </c>
      <c r="B367" t="s">
        <v>264</v>
      </c>
      <c r="C367" t="s">
        <v>254</v>
      </c>
      <c r="D367" t="s">
        <v>155</v>
      </c>
      <c r="F367">
        <v>20294.702873035465</v>
      </c>
      <c r="G367">
        <v>10147.351436517733</v>
      </c>
      <c r="H367">
        <v>43581</v>
      </c>
      <c r="I367">
        <v>43609</v>
      </c>
    </row>
    <row r="368" spans="1:12" x14ac:dyDescent="0.35">
      <c r="A368" t="s">
        <v>256</v>
      </c>
      <c r="B368" t="s">
        <v>264</v>
      </c>
      <c r="C368" t="s">
        <v>254</v>
      </c>
      <c r="D368" t="s">
        <v>155</v>
      </c>
      <c r="F368">
        <v>91.272469392087103</v>
      </c>
      <c r="G368" t="s">
        <v>153</v>
      </c>
      <c r="H368">
        <v>43581</v>
      </c>
      <c r="I368">
        <v>43609</v>
      </c>
    </row>
    <row r="369" spans="1:12" x14ac:dyDescent="0.35">
      <c r="A369" t="s">
        <v>213</v>
      </c>
      <c r="B369" t="s">
        <v>264</v>
      </c>
      <c r="C369" t="s">
        <v>254</v>
      </c>
      <c r="D369" t="s">
        <v>155</v>
      </c>
      <c r="F369">
        <v>61.811182967690122</v>
      </c>
      <c r="G369">
        <v>18.54335489030704</v>
      </c>
      <c r="H369">
        <v>43581</v>
      </c>
      <c r="I369">
        <v>43609</v>
      </c>
      <c r="J369">
        <v>43623</v>
      </c>
      <c r="K369" t="s">
        <v>263</v>
      </c>
      <c r="L369">
        <v>43677</v>
      </c>
    </row>
    <row r="370" spans="1:12" x14ac:dyDescent="0.35">
      <c r="A370" t="s">
        <v>160</v>
      </c>
      <c r="B370" t="s">
        <v>264</v>
      </c>
      <c r="C370" t="s">
        <v>254</v>
      </c>
      <c r="D370" t="s">
        <v>155</v>
      </c>
      <c r="F370">
        <v>262.694797730397</v>
      </c>
      <c r="G370" t="s">
        <v>153</v>
      </c>
      <c r="H370">
        <v>43581</v>
      </c>
      <c r="I370">
        <v>43609</v>
      </c>
    </row>
    <row r="371" spans="1:12" x14ac:dyDescent="0.35">
      <c r="A371" t="s">
        <v>120</v>
      </c>
      <c r="B371" t="s">
        <v>264</v>
      </c>
      <c r="C371" t="s">
        <v>254</v>
      </c>
      <c r="D371" t="s">
        <v>155</v>
      </c>
      <c r="F371">
        <v>1788.3310927526597</v>
      </c>
      <c r="G371" t="s">
        <v>153</v>
      </c>
      <c r="H371">
        <v>43581</v>
      </c>
      <c r="I371">
        <v>43609</v>
      </c>
    </row>
    <row r="372" spans="1:12" x14ac:dyDescent="0.35">
      <c r="A372" t="s">
        <v>190</v>
      </c>
      <c r="B372" t="s">
        <v>264</v>
      </c>
      <c r="C372" t="s">
        <v>254</v>
      </c>
      <c r="D372" t="s">
        <v>155</v>
      </c>
      <c r="F372">
        <v>371.70779326459188</v>
      </c>
      <c r="G372">
        <v>185.85389663229594</v>
      </c>
      <c r="H372">
        <v>43581</v>
      </c>
      <c r="I372">
        <v>43609</v>
      </c>
    </row>
    <row r="373" spans="1:12" x14ac:dyDescent="0.35">
      <c r="A373" t="s">
        <v>162</v>
      </c>
      <c r="B373" t="s">
        <v>264</v>
      </c>
      <c r="C373" t="s">
        <v>254</v>
      </c>
      <c r="D373" t="s">
        <v>155</v>
      </c>
      <c r="F373">
        <v>6277.3507187320656</v>
      </c>
      <c r="G373">
        <v>3766.4104312392524</v>
      </c>
      <c r="H373">
        <v>43581</v>
      </c>
      <c r="I373">
        <v>43609</v>
      </c>
      <c r="J373">
        <v>43623</v>
      </c>
      <c r="K373" t="s">
        <v>263</v>
      </c>
      <c r="L373">
        <v>43703</v>
      </c>
    </row>
    <row r="374" spans="1:12" x14ac:dyDescent="0.35">
      <c r="A374" t="s">
        <v>257</v>
      </c>
      <c r="B374" t="s">
        <v>264</v>
      </c>
      <c r="C374" t="s">
        <v>254</v>
      </c>
      <c r="D374" t="s">
        <v>155</v>
      </c>
      <c r="F374">
        <v>202.03744316654203</v>
      </c>
      <c r="G374" t="s">
        <v>153</v>
      </c>
      <c r="H374">
        <v>43581</v>
      </c>
      <c r="I374">
        <v>43609</v>
      </c>
    </row>
    <row r="375" spans="1:12" x14ac:dyDescent="0.35">
      <c r="A375" t="s">
        <v>214</v>
      </c>
      <c r="B375" t="s">
        <v>264</v>
      </c>
      <c r="C375" t="s">
        <v>254</v>
      </c>
      <c r="D375" t="s">
        <v>155</v>
      </c>
      <c r="F375">
        <v>15.116540866002527</v>
      </c>
      <c r="G375">
        <v>7.5582704330012636</v>
      </c>
      <c r="H375">
        <v>43581</v>
      </c>
      <c r="I375">
        <v>43609</v>
      </c>
    </row>
    <row r="376" spans="1:12" x14ac:dyDescent="0.35">
      <c r="A376" t="s">
        <v>151</v>
      </c>
      <c r="B376" t="s">
        <v>264</v>
      </c>
      <c r="C376" t="s">
        <v>254</v>
      </c>
      <c r="D376" t="s">
        <v>155</v>
      </c>
      <c r="F376">
        <v>330182.86793337564</v>
      </c>
      <c r="G376">
        <v>198109.72076002482</v>
      </c>
      <c r="H376">
        <v>43581</v>
      </c>
      <c r="I376">
        <v>43609</v>
      </c>
    </row>
    <row r="377" spans="1:12" x14ac:dyDescent="0.35">
      <c r="A377" t="s">
        <v>215</v>
      </c>
      <c r="B377" t="s">
        <v>264</v>
      </c>
      <c r="C377" t="s">
        <v>254</v>
      </c>
      <c r="D377" t="s">
        <v>155</v>
      </c>
      <c r="F377">
        <v>13.893225223961789</v>
      </c>
      <c r="G377">
        <v>6.9466126119808944</v>
      </c>
      <c r="H377">
        <v>43581</v>
      </c>
      <c r="I377">
        <v>43609</v>
      </c>
    </row>
    <row r="378" spans="1:12" x14ac:dyDescent="0.35">
      <c r="A378" t="s">
        <v>266</v>
      </c>
      <c r="B378" t="s">
        <v>264</v>
      </c>
      <c r="C378" t="s">
        <v>254</v>
      </c>
      <c r="D378" t="s">
        <v>155</v>
      </c>
      <c r="F378">
        <v>4099.9122269792952</v>
      </c>
      <c r="G378">
        <v>1640</v>
      </c>
      <c r="H378">
        <v>43581</v>
      </c>
      <c r="I378">
        <v>43609</v>
      </c>
      <c r="J378">
        <v>43623</v>
      </c>
      <c r="K378" t="s">
        <v>263</v>
      </c>
      <c r="L378">
        <v>43682</v>
      </c>
    </row>
    <row r="379" spans="1:12" x14ac:dyDescent="0.35">
      <c r="A379" t="s">
        <v>183</v>
      </c>
      <c r="B379" t="s">
        <v>264</v>
      </c>
      <c r="C379" t="s">
        <v>254</v>
      </c>
      <c r="D379" t="s">
        <v>155</v>
      </c>
      <c r="F379">
        <v>364946.47915089835</v>
      </c>
      <c r="G379" t="s">
        <v>153</v>
      </c>
      <c r="H379">
        <v>43581</v>
      </c>
      <c r="I379">
        <v>43609</v>
      </c>
    </row>
    <row r="380" spans="1:12" x14ac:dyDescent="0.35">
      <c r="A380" t="s">
        <v>267</v>
      </c>
      <c r="B380" t="s">
        <v>264</v>
      </c>
      <c r="C380" t="s">
        <v>254</v>
      </c>
      <c r="D380" t="s">
        <v>155</v>
      </c>
      <c r="E380">
        <v>41856</v>
      </c>
      <c r="F380">
        <v>112824.70197703595</v>
      </c>
      <c r="G380">
        <v>0</v>
      </c>
      <c r="H380">
        <v>43581</v>
      </c>
      <c r="I380">
        <v>43609</v>
      </c>
    </row>
    <row r="381" spans="1:12" x14ac:dyDescent="0.35">
      <c r="A381" t="s">
        <v>186</v>
      </c>
      <c r="B381" t="s">
        <v>264</v>
      </c>
      <c r="C381" t="s">
        <v>254</v>
      </c>
      <c r="D381" t="s">
        <v>155</v>
      </c>
      <c r="F381">
        <v>58.604978804836513</v>
      </c>
      <c r="G381">
        <v>29.302489402418257</v>
      </c>
      <c r="H381">
        <v>43581</v>
      </c>
      <c r="I381">
        <v>43609</v>
      </c>
    </row>
    <row r="382" spans="1:12" x14ac:dyDescent="0.35">
      <c r="A382" t="s">
        <v>268</v>
      </c>
      <c r="B382" t="s">
        <v>264</v>
      </c>
      <c r="C382" t="s">
        <v>254</v>
      </c>
      <c r="D382" t="s">
        <v>155</v>
      </c>
      <c r="F382">
        <v>1628.0806957267705</v>
      </c>
      <c r="G382">
        <v>651</v>
      </c>
      <c r="H382">
        <v>43581</v>
      </c>
      <c r="I382">
        <v>43609</v>
      </c>
      <c r="J382">
        <v>43656</v>
      </c>
      <c r="K382" t="s">
        <v>269</v>
      </c>
      <c r="L382">
        <v>43679</v>
      </c>
    </row>
    <row r="383" spans="1:12" x14ac:dyDescent="0.35">
      <c r="A383" t="s">
        <v>258</v>
      </c>
      <c r="B383" t="s">
        <v>264</v>
      </c>
      <c r="C383" t="s">
        <v>254</v>
      </c>
      <c r="D383" t="s">
        <v>155</v>
      </c>
      <c r="F383">
        <v>154</v>
      </c>
      <c r="G383" t="s">
        <v>153</v>
      </c>
      <c r="H383">
        <v>43581</v>
      </c>
      <c r="I383">
        <v>43609</v>
      </c>
    </row>
    <row r="384" spans="1:12" x14ac:dyDescent="0.35">
      <c r="A384" t="s">
        <v>219</v>
      </c>
      <c r="B384" t="s">
        <v>270</v>
      </c>
      <c r="C384" t="s">
        <v>271</v>
      </c>
      <c r="D384" t="s">
        <v>155</v>
      </c>
      <c r="F384">
        <v>4</v>
      </c>
      <c r="G384">
        <v>2</v>
      </c>
      <c r="H384">
        <v>43608</v>
      </c>
      <c r="I384">
        <v>43615</v>
      </c>
      <c r="J384">
        <v>43623</v>
      </c>
      <c r="K384" t="s">
        <v>263</v>
      </c>
      <c r="L384">
        <v>43703</v>
      </c>
    </row>
    <row r="385" spans="1:12" x14ac:dyDescent="0.35">
      <c r="A385" t="s">
        <v>223</v>
      </c>
      <c r="B385" t="s">
        <v>270</v>
      </c>
      <c r="C385" t="s">
        <v>236</v>
      </c>
      <c r="D385" t="s">
        <v>155</v>
      </c>
      <c r="F385">
        <v>5</v>
      </c>
      <c r="G385">
        <v>2</v>
      </c>
      <c r="H385">
        <v>43579</v>
      </c>
      <c r="I385">
        <v>43579</v>
      </c>
    </row>
    <row r="386" spans="1:12" x14ac:dyDescent="0.35">
      <c r="A386" t="s">
        <v>272</v>
      </c>
      <c r="B386" t="s">
        <v>264</v>
      </c>
      <c r="C386" t="s">
        <v>273</v>
      </c>
      <c r="D386" t="s">
        <v>155</v>
      </c>
      <c r="F386">
        <v>112</v>
      </c>
      <c r="G386" t="s">
        <v>153</v>
      </c>
      <c r="H386">
        <v>43587</v>
      </c>
      <c r="I386">
        <v>43615</v>
      </c>
    </row>
    <row r="387" spans="1:12" x14ac:dyDescent="0.35">
      <c r="A387" t="s">
        <v>274</v>
      </c>
      <c r="B387" t="s">
        <v>264</v>
      </c>
      <c r="C387" t="s">
        <v>273</v>
      </c>
      <c r="D387" t="s">
        <v>155</v>
      </c>
      <c r="F387">
        <v>29</v>
      </c>
      <c r="G387" t="s">
        <v>153</v>
      </c>
      <c r="H387">
        <v>43587</v>
      </c>
      <c r="I387">
        <v>43615</v>
      </c>
    </row>
    <row r="388" spans="1:12" x14ac:dyDescent="0.35">
      <c r="A388" t="s">
        <v>275</v>
      </c>
      <c r="B388" t="s">
        <v>264</v>
      </c>
      <c r="C388" t="s">
        <v>273</v>
      </c>
      <c r="D388" t="s">
        <v>155</v>
      </c>
      <c r="F388">
        <v>2</v>
      </c>
      <c r="G388" t="s">
        <v>153</v>
      </c>
      <c r="H388">
        <v>43587</v>
      </c>
      <c r="I388">
        <v>43615</v>
      </c>
    </row>
    <row r="389" spans="1:12" x14ac:dyDescent="0.35">
      <c r="A389" t="s">
        <v>276</v>
      </c>
      <c r="B389" t="s">
        <v>264</v>
      </c>
      <c r="C389" t="s">
        <v>273</v>
      </c>
      <c r="D389" t="s">
        <v>155</v>
      </c>
      <c r="F389">
        <v>127</v>
      </c>
      <c r="G389" t="s">
        <v>153</v>
      </c>
      <c r="H389">
        <v>43587</v>
      </c>
      <c r="I389">
        <v>43615</v>
      </c>
    </row>
    <row r="390" spans="1:12" x14ac:dyDescent="0.35">
      <c r="A390" t="s">
        <v>232</v>
      </c>
      <c r="B390" t="s">
        <v>264</v>
      </c>
      <c r="C390" t="s">
        <v>273</v>
      </c>
      <c r="D390" t="s">
        <v>155</v>
      </c>
      <c r="F390">
        <v>1672</v>
      </c>
      <c r="G390" t="s">
        <v>153</v>
      </c>
      <c r="H390">
        <v>43587</v>
      </c>
      <c r="I390">
        <v>43615</v>
      </c>
    </row>
    <row r="391" spans="1:12" x14ac:dyDescent="0.35">
      <c r="A391" t="s">
        <v>277</v>
      </c>
      <c r="B391" t="s">
        <v>264</v>
      </c>
      <c r="C391" t="s">
        <v>273</v>
      </c>
      <c r="D391" t="s">
        <v>155</v>
      </c>
      <c r="F391">
        <v>148</v>
      </c>
      <c r="G391" t="s">
        <v>153</v>
      </c>
      <c r="H391">
        <v>43587</v>
      </c>
      <c r="I391">
        <v>43615</v>
      </c>
    </row>
    <row r="392" spans="1:12" x14ac:dyDescent="0.35">
      <c r="A392" t="s">
        <v>233</v>
      </c>
      <c r="B392" t="s">
        <v>264</v>
      </c>
      <c r="C392" t="s">
        <v>273</v>
      </c>
      <c r="D392" t="s">
        <v>155</v>
      </c>
      <c r="F392">
        <v>364</v>
      </c>
      <c r="G392">
        <v>182</v>
      </c>
      <c r="H392">
        <v>43587</v>
      </c>
      <c r="I392">
        <v>43615</v>
      </c>
    </row>
    <row r="393" spans="1:12" x14ac:dyDescent="0.35">
      <c r="A393" t="s">
        <v>278</v>
      </c>
      <c r="B393" t="s">
        <v>264</v>
      </c>
      <c r="C393" t="s">
        <v>273</v>
      </c>
      <c r="D393" t="s">
        <v>155</v>
      </c>
      <c r="F393">
        <v>197</v>
      </c>
      <c r="G393" t="s">
        <v>153</v>
      </c>
      <c r="H393">
        <v>43587</v>
      </c>
      <c r="I393">
        <v>43615</v>
      </c>
    </row>
    <row r="394" spans="1:12" x14ac:dyDescent="0.35">
      <c r="A394" t="s">
        <v>279</v>
      </c>
      <c r="B394" t="s">
        <v>264</v>
      </c>
      <c r="C394" t="s">
        <v>273</v>
      </c>
      <c r="D394" t="s">
        <v>155</v>
      </c>
      <c r="F394">
        <v>55</v>
      </c>
      <c r="G394" t="s">
        <v>153</v>
      </c>
      <c r="H394">
        <v>43587</v>
      </c>
      <c r="I394">
        <v>43615</v>
      </c>
    </row>
    <row r="395" spans="1:12" x14ac:dyDescent="0.35">
      <c r="A395" t="s">
        <v>280</v>
      </c>
      <c r="B395" t="s">
        <v>264</v>
      </c>
      <c r="C395" t="s">
        <v>273</v>
      </c>
      <c r="D395" t="s">
        <v>155</v>
      </c>
      <c r="F395">
        <v>636</v>
      </c>
      <c r="G395">
        <v>318</v>
      </c>
      <c r="H395">
        <v>43587</v>
      </c>
      <c r="I395">
        <v>43615</v>
      </c>
      <c r="L395" t="s">
        <v>281</v>
      </c>
    </row>
    <row r="396" spans="1:12" x14ac:dyDescent="0.35">
      <c r="A396" t="s">
        <v>282</v>
      </c>
      <c r="B396" t="s">
        <v>264</v>
      </c>
      <c r="C396" t="s">
        <v>273</v>
      </c>
      <c r="D396" t="s">
        <v>155</v>
      </c>
      <c r="F396">
        <v>7</v>
      </c>
      <c r="G396" t="s">
        <v>153</v>
      </c>
      <c r="H396">
        <v>43587</v>
      </c>
      <c r="I396">
        <v>43615</v>
      </c>
    </row>
    <row r="397" spans="1:12" x14ac:dyDescent="0.35">
      <c r="A397" t="s">
        <v>219</v>
      </c>
      <c r="B397" t="s">
        <v>264</v>
      </c>
      <c r="C397" t="s">
        <v>242</v>
      </c>
      <c r="D397" t="s">
        <v>243</v>
      </c>
      <c r="F397">
        <v>47</v>
      </c>
      <c r="G397">
        <v>23</v>
      </c>
      <c r="H397">
        <v>43588</v>
      </c>
      <c r="I397">
        <v>43588</v>
      </c>
      <c r="J397">
        <v>43623</v>
      </c>
      <c r="K397" t="s">
        <v>263</v>
      </c>
      <c r="L397">
        <v>43703</v>
      </c>
    </row>
    <row r="398" spans="1:12" x14ac:dyDescent="0.35">
      <c r="A398" t="s">
        <v>219</v>
      </c>
      <c r="B398" t="s">
        <v>270</v>
      </c>
      <c r="C398" t="s">
        <v>246</v>
      </c>
      <c r="D398" t="s">
        <v>155</v>
      </c>
      <c r="F398" t="s">
        <v>153</v>
      </c>
      <c r="G398">
        <v>8</v>
      </c>
      <c r="H398">
        <v>43607</v>
      </c>
      <c r="I398">
        <v>43607</v>
      </c>
      <c r="J398">
        <v>43623</v>
      </c>
      <c r="K398" t="s">
        <v>263</v>
      </c>
      <c r="L398">
        <v>43703</v>
      </c>
    </row>
    <row r="399" spans="1:12" x14ac:dyDescent="0.35">
      <c r="A399" t="s">
        <v>223</v>
      </c>
      <c r="B399" t="s">
        <v>270</v>
      </c>
      <c r="C399" t="s">
        <v>245</v>
      </c>
      <c r="D399" t="s">
        <v>155</v>
      </c>
      <c r="F399" t="s">
        <v>153</v>
      </c>
      <c r="G399">
        <v>1</v>
      </c>
      <c r="H399">
        <v>43607</v>
      </c>
      <c r="I399">
        <v>43607</v>
      </c>
    </row>
    <row r="400" spans="1:12" x14ac:dyDescent="0.35">
      <c r="A400" t="s">
        <v>283</v>
      </c>
      <c r="B400" t="s">
        <v>270</v>
      </c>
      <c r="C400" t="s">
        <v>245</v>
      </c>
      <c r="D400" t="s">
        <v>155</v>
      </c>
      <c r="F400" t="s">
        <v>153</v>
      </c>
      <c r="G400">
        <v>1</v>
      </c>
      <c r="H400">
        <v>43607</v>
      </c>
      <c r="I400">
        <v>43607</v>
      </c>
    </row>
    <row r="401" spans="1:12" x14ac:dyDescent="0.35">
      <c r="A401" t="s">
        <v>266</v>
      </c>
      <c r="B401" t="s">
        <v>270</v>
      </c>
      <c r="C401" t="s">
        <v>246</v>
      </c>
      <c r="D401" t="s">
        <v>155</v>
      </c>
      <c r="F401" t="s">
        <v>153</v>
      </c>
      <c r="G401">
        <v>2716</v>
      </c>
      <c r="H401">
        <v>43607</v>
      </c>
      <c r="I401">
        <v>43607</v>
      </c>
      <c r="J401">
        <v>43623</v>
      </c>
      <c r="K401" t="s">
        <v>284</v>
      </c>
      <c r="L401">
        <v>43682</v>
      </c>
    </row>
    <row r="402" spans="1:12" x14ac:dyDescent="0.35">
      <c r="A402" t="s">
        <v>219</v>
      </c>
      <c r="B402" t="s">
        <v>285</v>
      </c>
      <c r="C402" t="s">
        <v>250</v>
      </c>
      <c r="D402" t="s">
        <v>155</v>
      </c>
      <c r="E402">
        <v>7</v>
      </c>
      <c r="F402">
        <v>0</v>
      </c>
      <c r="G402">
        <v>0.2096997052431108</v>
      </c>
      <c r="H402">
        <v>43633</v>
      </c>
      <c r="I402">
        <v>43633</v>
      </c>
      <c r="J402">
        <v>43703</v>
      </c>
      <c r="K402" t="s">
        <v>286</v>
      </c>
      <c r="L402">
        <v>43792</v>
      </c>
    </row>
    <row r="403" spans="1:12" x14ac:dyDescent="0.35">
      <c r="A403" t="s">
        <v>287</v>
      </c>
      <c r="B403" t="s">
        <v>285</v>
      </c>
      <c r="C403" t="s">
        <v>250</v>
      </c>
      <c r="D403" t="s">
        <v>155</v>
      </c>
      <c r="E403">
        <v>148</v>
      </c>
      <c r="F403">
        <v>9</v>
      </c>
      <c r="G403">
        <v>4</v>
      </c>
      <c r="H403">
        <v>43633</v>
      </c>
      <c r="I403">
        <v>43633</v>
      </c>
      <c r="J403">
        <v>43703</v>
      </c>
      <c r="K403" t="s">
        <v>286</v>
      </c>
    </row>
    <row r="404" spans="1:12" x14ac:dyDescent="0.35">
      <c r="A404" t="s">
        <v>288</v>
      </c>
      <c r="B404" t="s">
        <v>285</v>
      </c>
      <c r="C404" t="s">
        <v>250</v>
      </c>
      <c r="D404" t="s">
        <v>155</v>
      </c>
      <c r="E404">
        <v>1</v>
      </c>
      <c r="F404">
        <v>0</v>
      </c>
      <c r="G404">
        <v>0</v>
      </c>
      <c r="H404">
        <v>43633</v>
      </c>
      <c r="I404">
        <v>43633</v>
      </c>
      <c r="J404">
        <v>43703</v>
      </c>
      <c r="K404" t="s">
        <v>286</v>
      </c>
    </row>
    <row r="405" spans="1:12" x14ac:dyDescent="0.35">
      <c r="A405" t="s">
        <v>266</v>
      </c>
      <c r="B405" t="s">
        <v>285</v>
      </c>
      <c r="C405" t="s">
        <v>250</v>
      </c>
      <c r="D405" t="s">
        <v>155</v>
      </c>
      <c r="E405">
        <v>134</v>
      </c>
      <c r="F405">
        <v>8</v>
      </c>
      <c r="G405">
        <v>3</v>
      </c>
      <c r="H405">
        <v>43633</v>
      </c>
      <c r="I405">
        <v>43633</v>
      </c>
      <c r="J405">
        <v>43703</v>
      </c>
      <c r="K405" t="s">
        <v>286</v>
      </c>
      <c r="L405">
        <v>43910</v>
      </c>
    </row>
    <row r="406" spans="1:12" x14ac:dyDescent="0.35">
      <c r="A406" t="s">
        <v>219</v>
      </c>
      <c r="B406" t="s">
        <v>289</v>
      </c>
      <c r="C406" t="s">
        <v>250</v>
      </c>
      <c r="D406" t="s">
        <v>155</v>
      </c>
      <c r="E406">
        <v>9</v>
      </c>
      <c r="F406">
        <v>1</v>
      </c>
      <c r="G406">
        <v>0.41976544260978699</v>
      </c>
      <c r="H406">
        <v>43640</v>
      </c>
      <c r="I406">
        <v>43640</v>
      </c>
      <c r="J406">
        <v>43703</v>
      </c>
      <c r="K406" t="s">
        <v>286</v>
      </c>
      <c r="L406">
        <v>43792</v>
      </c>
    </row>
    <row r="407" spans="1:12" x14ac:dyDescent="0.35">
      <c r="A407" t="s">
        <v>287</v>
      </c>
      <c r="B407" t="s">
        <v>289</v>
      </c>
      <c r="C407" t="s">
        <v>250</v>
      </c>
      <c r="D407" t="s">
        <v>155</v>
      </c>
      <c r="E407">
        <v>181</v>
      </c>
      <c r="F407">
        <v>16.883900284767151</v>
      </c>
      <c r="G407">
        <v>8.4419501423835754</v>
      </c>
      <c r="H407">
        <v>43640</v>
      </c>
      <c r="I407">
        <v>43640</v>
      </c>
      <c r="J407">
        <v>43703</v>
      </c>
      <c r="K407" t="s">
        <v>286</v>
      </c>
    </row>
    <row r="408" spans="1:12" x14ac:dyDescent="0.35">
      <c r="A408" t="s">
        <v>266</v>
      </c>
      <c r="B408" t="s">
        <v>289</v>
      </c>
      <c r="C408" t="s">
        <v>250</v>
      </c>
      <c r="D408" t="s">
        <v>155</v>
      </c>
      <c r="E408">
        <v>359</v>
      </c>
      <c r="F408">
        <v>33.487956389784785</v>
      </c>
      <c r="G408">
        <v>13.395182555913916</v>
      </c>
      <c r="H408">
        <v>43640</v>
      </c>
      <c r="I408">
        <v>43640</v>
      </c>
      <c r="J408">
        <v>43703</v>
      </c>
      <c r="K408" t="s">
        <v>286</v>
      </c>
      <c r="L408">
        <v>43910</v>
      </c>
    </row>
    <row r="409" spans="1:12" x14ac:dyDescent="0.35">
      <c r="A409" t="s">
        <v>219</v>
      </c>
      <c r="B409" t="s">
        <v>285</v>
      </c>
      <c r="C409" t="s">
        <v>240</v>
      </c>
      <c r="D409" t="s">
        <v>155</v>
      </c>
      <c r="E409">
        <v>7</v>
      </c>
      <c r="F409">
        <v>2</v>
      </c>
      <c r="G409">
        <v>1</v>
      </c>
      <c r="H409">
        <v>43642</v>
      </c>
      <c r="I409">
        <v>43642</v>
      </c>
      <c r="J409">
        <v>43703</v>
      </c>
      <c r="K409" t="s">
        <v>286</v>
      </c>
      <c r="L409">
        <v>43792</v>
      </c>
    </row>
    <row r="410" spans="1:12" x14ac:dyDescent="0.35">
      <c r="A410" t="s">
        <v>219</v>
      </c>
      <c r="B410" t="s">
        <v>289</v>
      </c>
      <c r="C410" t="s">
        <v>240</v>
      </c>
      <c r="D410" t="s">
        <v>155</v>
      </c>
      <c r="E410">
        <v>5</v>
      </c>
      <c r="F410">
        <v>1</v>
      </c>
      <c r="G410">
        <v>1</v>
      </c>
      <c r="H410">
        <v>43655</v>
      </c>
      <c r="I410">
        <v>43655</v>
      </c>
      <c r="J410">
        <v>43703</v>
      </c>
      <c r="K410" t="s">
        <v>286</v>
      </c>
      <c r="L410">
        <v>43792</v>
      </c>
    </row>
    <row r="411" spans="1:12" x14ac:dyDescent="0.35">
      <c r="A411" t="s">
        <v>266</v>
      </c>
      <c r="B411" t="s">
        <v>264</v>
      </c>
      <c r="C411" t="s">
        <v>290</v>
      </c>
      <c r="D411" t="s">
        <v>155</v>
      </c>
      <c r="F411">
        <v>70.599350280872969</v>
      </c>
      <c r="G411">
        <v>28.239740112349189</v>
      </c>
      <c r="H411">
        <v>43656</v>
      </c>
      <c r="I411">
        <v>43656</v>
      </c>
      <c r="J411">
        <v>43656</v>
      </c>
      <c r="K411" t="s">
        <v>291</v>
      </c>
      <c r="L411">
        <v>43910</v>
      </c>
    </row>
    <row r="412" spans="1:12" x14ac:dyDescent="0.35">
      <c r="A412" t="s">
        <v>266</v>
      </c>
      <c r="B412" t="s">
        <v>292</v>
      </c>
      <c r="C412" t="s">
        <v>173</v>
      </c>
      <c r="D412" t="s">
        <v>243</v>
      </c>
      <c r="E412">
        <v>184</v>
      </c>
      <c r="F412">
        <v>38.639999613165863</v>
      </c>
      <c r="G412">
        <v>15.455999845266348</v>
      </c>
      <c r="H412">
        <v>43663</v>
      </c>
      <c r="I412">
        <v>43663</v>
      </c>
      <c r="J412">
        <v>43703</v>
      </c>
      <c r="K412" t="s">
        <v>286</v>
      </c>
      <c r="L412">
        <v>43910</v>
      </c>
    </row>
    <row r="413" spans="1:12" x14ac:dyDescent="0.35">
      <c r="A413" t="s">
        <v>266</v>
      </c>
      <c r="B413" t="s">
        <v>289</v>
      </c>
      <c r="C413" t="s">
        <v>132</v>
      </c>
      <c r="D413" t="s">
        <v>243</v>
      </c>
      <c r="E413">
        <v>27</v>
      </c>
      <c r="F413">
        <v>35.787900208309303</v>
      </c>
      <c r="G413">
        <v>14.315160083323722</v>
      </c>
      <c r="H413">
        <v>43675</v>
      </c>
      <c r="I413">
        <v>43675</v>
      </c>
      <c r="J413">
        <v>43703</v>
      </c>
      <c r="K413" t="s">
        <v>286</v>
      </c>
      <c r="L413">
        <v>43910</v>
      </c>
    </row>
    <row r="414" spans="1:12" x14ac:dyDescent="0.35">
      <c r="A414" t="s">
        <v>219</v>
      </c>
      <c r="B414" t="s">
        <v>293</v>
      </c>
      <c r="C414" t="s">
        <v>236</v>
      </c>
      <c r="D414" t="s">
        <v>155</v>
      </c>
      <c r="E414">
        <v>42</v>
      </c>
      <c r="F414">
        <v>3</v>
      </c>
      <c r="G414">
        <v>1</v>
      </c>
      <c r="H414">
        <v>43683</v>
      </c>
      <c r="I414">
        <v>43683</v>
      </c>
      <c r="J414">
        <v>43703</v>
      </c>
      <c r="K414" t="s">
        <v>286</v>
      </c>
      <c r="L414">
        <v>43792</v>
      </c>
    </row>
    <row r="415" spans="1:12" x14ac:dyDescent="0.35">
      <c r="A415" t="s">
        <v>223</v>
      </c>
      <c r="B415" t="s">
        <v>293</v>
      </c>
      <c r="C415" t="s">
        <v>236</v>
      </c>
      <c r="D415" t="s">
        <v>155</v>
      </c>
      <c r="E415">
        <v>88</v>
      </c>
      <c r="F415">
        <v>6</v>
      </c>
      <c r="G415">
        <v>3</v>
      </c>
      <c r="H415">
        <v>43683</v>
      </c>
      <c r="I415">
        <v>43683</v>
      </c>
      <c r="J415">
        <v>43703</v>
      </c>
      <c r="K415" t="s">
        <v>294</v>
      </c>
    </row>
    <row r="416" spans="1:12" x14ac:dyDescent="0.35">
      <c r="A416" t="s">
        <v>287</v>
      </c>
      <c r="B416" t="s">
        <v>293</v>
      </c>
      <c r="C416" t="s">
        <v>236</v>
      </c>
      <c r="D416" t="s">
        <v>155</v>
      </c>
      <c r="E416">
        <v>208</v>
      </c>
      <c r="F416">
        <v>13</v>
      </c>
      <c r="G416">
        <v>7</v>
      </c>
      <c r="H416">
        <v>43683</v>
      </c>
      <c r="I416">
        <v>43683</v>
      </c>
      <c r="J416">
        <v>43703</v>
      </c>
      <c r="K416" t="s">
        <v>286</v>
      </c>
    </row>
    <row r="417" spans="1:12" x14ac:dyDescent="0.35">
      <c r="A417" t="s">
        <v>288</v>
      </c>
      <c r="B417" t="s">
        <v>293</v>
      </c>
      <c r="C417" t="s">
        <v>236</v>
      </c>
      <c r="D417" t="s">
        <v>155</v>
      </c>
      <c r="E417">
        <v>7</v>
      </c>
      <c r="F417">
        <v>0</v>
      </c>
      <c r="G417">
        <v>0</v>
      </c>
      <c r="H417">
        <v>43683</v>
      </c>
      <c r="I417">
        <v>43683</v>
      </c>
      <c r="J417">
        <v>43703</v>
      </c>
      <c r="K417" t="s">
        <v>286</v>
      </c>
    </row>
    <row r="418" spans="1:12" x14ac:dyDescent="0.35">
      <c r="A418" t="s">
        <v>193</v>
      </c>
      <c r="B418" t="s">
        <v>293</v>
      </c>
      <c r="C418" t="s">
        <v>236</v>
      </c>
      <c r="D418" t="s">
        <v>155</v>
      </c>
      <c r="E418">
        <v>485</v>
      </c>
      <c r="F418">
        <v>32.219895920014864</v>
      </c>
      <c r="G418">
        <v>16.109947960007432</v>
      </c>
      <c r="H418">
        <v>43683</v>
      </c>
      <c r="I418">
        <v>43683</v>
      </c>
      <c r="J418">
        <v>43703</v>
      </c>
      <c r="K418" t="s">
        <v>286</v>
      </c>
    </row>
    <row r="419" spans="1:12" x14ac:dyDescent="0.35">
      <c r="A419" t="s">
        <v>266</v>
      </c>
      <c r="B419" t="s">
        <v>293</v>
      </c>
      <c r="C419" t="s">
        <v>236</v>
      </c>
      <c r="D419" t="s">
        <v>155</v>
      </c>
      <c r="E419">
        <v>64</v>
      </c>
      <c r="F419">
        <v>4</v>
      </c>
      <c r="G419">
        <v>2</v>
      </c>
      <c r="H419">
        <v>43683</v>
      </c>
      <c r="I419">
        <v>43683</v>
      </c>
      <c r="J419">
        <v>43703</v>
      </c>
      <c r="K419" t="s">
        <v>286</v>
      </c>
      <c r="L419">
        <v>43910</v>
      </c>
    </row>
    <row r="420" spans="1:12" x14ac:dyDescent="0.35">
      <c r="A420" t="s">
        <v>219</v>
      </c>
      <c r="B420" t="s">
        <v>293</v>
      </c>
      <c r="C420" t="s">
        <v>246</v>
      </c>
      <c r="D420" t="s">
        <v>155</v>
      </c>
      <c r="E420">
        <v>52</v>
      </c>
      <c r="F420" t="s">
        <v>153</v>
      </c>
      <c r="G420">
        <v>5</v>
      </c>
      <c r="H420">
        <v>43686</v>
      </c>
      <c r="I420">
        <v>43686</v>
      </c>
      <c r="J420">
        <v>43703</v>
      </c>
      <c r="K420" t="s">
        <v>286</v>
      </c>
      <c r="L420">
        <v>43792</v>
      </c>
    </row>
    <row r="421" spans="1:12" x14ac:dyDescent="0.35">
      <c r="A421" t="s">
        <v>223</v>
      </c>
      <c r="B421" t="s">
        <v>293</v>
      </c>
      <c r="C421" t="s">
        <v>246</v>
      </c>
      <c r="D421" t="s">
        <v>155</v>
      </c>
      <c r="E421">
        <v>74</v>
      </c>
      <c r="F421" t="s">
        <v>153</v>
      </c>
      <c r="G421">
        <v>7</v>
      </c>
      <c r="H421">
        <v>43686</v>
      </c>
      <c r="I421">
        <v>43686</v>
      </c>
    </row>
    <row r="422" spans="1:12" x14ac:dyDescent="0.35">
      <c r="A422" t="s">
        <v>287</v>
      </c>
      <c r="B422" t="s">
        <v>293</v>
      </c>
      <c r="C422" t="s">
        <v>246</v>
      </c>
      <c r="D422" t="s">
        <v>155</v>
      </c>
      <c r="E422">
        <v>1372</v>
      </c>
      <c r="F422" t="s">
        <v>153</v>
      </c>
      <c r="G422">
        <v>69</v>
      </c>
      <c r="H422">
        <v>43686</v>
      </c>
      <c r="I422">
        <v>43686</v>
      </c>
      <c r="J422">
        <v>43703</v>
      </c>
      <c r="K422" t="s">
        <v>286</v>
      </c>
    </row>
    <row r="423" spans="1:12" x14ac:dyDescent="0.35">
      <c r="A423" t="s">
        <v>230</v>
      </c>
      <c r="B423" t="s">
        <v>293</v>
      </c>
      <c r="C423" t="s">
        <v>246</v>
      </c>
      <c r="D423" t="s">
        <v>155</v>
      </c>
      <c r="E423">
        <v>20</v>
      </c>
      <c r="F423" t="s">
        <v>153</v>
      </c>
      <c r="G423">
        <v>2</v>
      </c>
      <c r="H423">
        <v>43686</v>
      </c>
      <c r="I423">
        <v>43686</v>
      </c>
      <c r="J423">
        <v>43703</v>
      </c>
      <c r="K423" t="s">
        <v>286</v>
      </c>
    </row>
    <row r="424" spans="1:12" x14ac:dyDescent="0.35">
      <c r="A424" t="s">
        <v>288</v>
      </c>
      <c r="B424" t="s">
        <v>293</v>
      </c>
      <c r="C424" t="s">
        <v>246</v>
      </c>
      <c r="D424" t="s">
        <v>155</v>
      </c>
      <c r="E424">
        <v>121</v>
      </c>
      <c r="F424" t="s">
        <v>153</v>
      </c>
      <c r="G424">
        <v>12</v>
      </c>
      <c r="H424">
        <v>43686</v>
      </c>
      <c r="I424">
        <v>43686</v>
      </c>
      <c r="J424">
        <v>43703</v>
      </c>
      <c r="K424" t="s">
        <v>286</v>
      </c>
    </row>
    <row r="425" spans="1:12" x14ac:dyDescent="0.35">
      <c r="A425" t="s">
        <v>193</v>
      </c>
      <c r="B425" t="s">
        <v>293</v>
      </c>
      <c r="C425" t="s">
        <v>246</v>
      </c>
      <c r="D425" t="s">
        <v>155</v>
      </c>
      <c r="E425">
        <v>2895</v>
      </c>
      <c r="F425" t="s">
        <v>153</v>
      </c>
      <c r="G425">
        <v>290</v>
      </c>
      <c r="H425">
        <v>43686</v>
      </c>
      <c r="I425">
        <v>43686</v>
      </c>
      <c r="J425">
        <v>43703</v>
      </c>
      <c r="K425" t="s">
        <v>286</v>
      </c>
    </row>
    <row r="426" spans="1:12" x14ac:dyDescent="0.35">
      <c r="A426" t="s">
        <v>266</v>
      </c>
      <c r="B426" t="s">
        <v>293</v>
      </c>
      <c r="C426" t="s">
        <v>246</v>
      </c>
      <c r="D426" t="s">
        <v>155</v>
      </c>
      <c r="E426">
        <v>12525</v>
      </c>
      <c r="F426" t="s">
        <v>153</v>
      </c>
      <c r="G426">
        <v>1253</v>
      </c>
      <c r="H426">
        <v>43686</v>
      </c>
      <c r="I426">
        <v>43686</v>
      </c>
      <c r="J426">
        <v>43703</v>
      </c>
      <c r="K426" t="s">
        <v>286</v>
      </c>
      <c r="L426">
        <v>43910</v>
      </c>
    </row>
    <row r="427" spans="1:12" x14ac:dyDescent="0.35">
      <c r="A427" t="s">
        <v>266</v>
      </c>
      <c r="B427" t="s">
        <v>295</v>
      </c>
      <c r="C427" t="s">
        <v>173</v>
      </c>
      <c r="D427" t="s">
        <v>243</v>
      </c>
      <c r="E427">
        <v>27</v>
      </c>
      <c r="F427">
        <v>5.6699998378753698</v>
      </c>
      <c r="G427">
        <v>2.2679999351501481</v>
      </c>
      <c r="H427">
        <v>43689</v>
      </c>
      <c r="I427">
        <v>43689</v>
      </c>
      <c r="J427">
        <v>43703</v>
      </c>
      <c r="K427" t="s">
        <v>286</v>
      </c>
      <c r="L427">
        <v>43910</v>
      </c>
    </row>
    <row r="428" spans="1:12" x14ac:dyDescent="0.35">
      <c r="A428" t="s">
        <v>287</v>
      </c>
      <c r="B428" t="s">
        <v>293</v>
      </c>
      <c r="C428" t="s">
        <v>296</v>
      </c>
      <c r="D428" t="s">
        <v>155</v>
      </c>
      <c r="E428">
        <v>15</v>
      </c>
      <c r="F428">
        <v>2</v>
      </c>
      <c r="G428">
        <v>1</v>
      </c>
      <c r="H428">
        <v>43690</v>
      </c>
      <c r="I428">
        <v>43690</v>
      </c>
      <c r="J428">
        <v>43703</v>
      </c>
      <c r="K428" t="s">
        <v>286</v>
      </c>
    </row>
    <row r="429" spans="1:12" x14ac:dyDescent="0.35">
      <c r="A429" t="s">
        <v>266</v>
      </c>
      <c r="B429" t="s">
        <v>293</v>
      </c>
      <c r="C429" t="s">
        <v>296</v>
      </c>
      <c r="D429" t="s">
        <v>155</v>
      </c>
      <c r="E429">
        <v>94</v>
      </c>
      <c r="F429">
        <v>10</v>
      </c>
      <c r="G429">
        <v>4</v>
      </c>
      <c r="H429">
        <v>43690</v>
      </c>
      <c r="I429">
        <v>43690</v>
      </c>
      <c r="J429">
        <v>43703</v>
      </c>
      <c r="K429" t="s">
        <v>286</v>
      </c>
      <c r="L429">
        <v>43910</v>
      </c>
    </row>
    <row r="430" spans="1:12" x14ac:dyDescent="0.35">
      <c r="A430" t="s">
        <v>219</v>
      </c>
      <c r="B430" t="s">
        <v>295</v>
      </c>
      <c r="C430" t="s">
        <v>240</v>
      </c>
      <c r="D430" t="s">
        <v>155</v>
      </c>
      <c r="E430">
        <v>30</v>
      </c>
      <c r="F430">
        <v>8</v>
      </c>
      <c r="G430">
        <v>4</v>
      </c>
      <c r="H430">
        <v>43691</v>
      </c>
      <c r="I430">
        <v>43691</v>
      </c>
      <c r="J430">
        <v>43753</v>
      </c>
      <c r="K430" t="s">
        <v>297</v>
      </c>
      <c r="L430">
        <v>43792</v>
      </c>
    </row>
    <row r="431" spans="1:12" x14ac:dyDescent="0.35">
      <c r="A431" t="s">
        <v>287</v>
      </c>
      <c r="B431" t="s">
        <v>295</v>
      </c>
      <c r="C431" t="s">
        <v>240</v>
      </c>
      <c r="D431" t="s">
        <v>155</v>
      </c>
      <c r="E431">
        <v>6</v>
      </c>
      <c r="F431">
        <v>2</v>
      </c>
      <c r="G431">
        <v>1</v>
      </c>
      <c r="H431">
        <v>43691</v>
      </c>
      <c r="I431">
        <v>43691</v>
      </c>
    </row>
    <row r="432" spans="1:12" x14ac:dyDescent="0.35">
      <c r="A432" t="s">
        <v>266</v>
      </c>
      <c r="B432" t="s">
        <v>295</v>
      </c>
      <c r="C432" t="s">
        <v>240</v>
      </c>
      <c r="D432" t="s">
        <v>155</v>
      </c>
      <c r="E432">
        <v>2</v>
      </c>
      <c r="F432">
        <v>1</v>
      </c>
      <c r="G432">
        <v>0</v>
      </c>
      <c r="H432">
        <v>43691</v>
      </c>
      <c r="I432">
        <v>43691</v>
      </c>
      <c r="L432">
        <v>43910</v>
      </c>
    </row>
    <row r="433" spans="1:12" x14ac:dyDescent="0.35">
      <c r="A433" t="s">
        <v>219</v>
      </c>
      <c r="B433" t="s">
        <v>295</v>
      </c>
      <c r="C433" t="s">
        <v>250</v>
      </c>
      <c r="D433" t="s">
        <v>155</v>
      </c>
      <c r="E433">
        <v>6</v>
      </c>
      <c r="F433">
        <v>1</v>
      </c>
      <c r="G433">
        <v>0</v>
      </c>
      <c r="H433">
        <v>43700</v>
      </c>
      <c r="I433">
        <v>43700</v>
      </c>
      <c r="J433">
        <v>43753</v>
      </c>
      <c r="K433" t="s">
        <v>297</v>
      </c>
      <c r="L433">
        <v>43792</v>
      </c>
    </row>
    <row r="434" spans="1:12" x14ac:dyDescent="0.35">
      <c r="A434" t="s">
        <v>287</v>
      </c>
      <c r="B434" t="s">
        <v>295</v>
      </c>
      <c r="C434" t="s">
        <v>250</v>
      </c>
      <c r="D434" t="s">
        <v>155</v>
      </c>
      <c r="E434">
        <v>191</v>
      </c>
      <c r="F434">
        <v>19</v>
      </c>
      <c r="G434">
        <v>9</v>
      </c>
      <c r="H434">
        <v>43700</v>
      </c>
    </row>
    <row r="435" spans="1:12" x14ac:dyDescent="0.35">
      <c r="A435" t="s">
        <v>193</v>
      </c>
      <c r="B435" t="s">
        <v>295</v>
      </c>
      <c r="C435" t="s">
        <v>250</v>
      </c>
      <c r="D435" t="s">
        <v>155</v>
      </c>
      <c r="E435">
        <v>26</v>
      </c>
      <c r="F435">
        <v>3</v>
      </c>
      <c r="G435">
        <v>1</v>
      </c>
      <c r="H435">
        <v>43700</v>
      </c>
      <c r="J435">
        <v>43753</v>
      </c>
    </row>
    <row r="436" spans="1:12" x14ac:dyDescent="0.35">
      <c r="A436" t="s">
        <v>266</v>
      </c>
      <c r="B436" t="s">
        <v>295</v>
      </c>
      <c r="C436" t="s">
        <v>250</v>
      </c>
      <c r="D436" t="s">
        <v>155</v>
      </c>
      <c r="E436">
        <v>526</v>
      </c>
      <c r="F436">
        <v>52</v>
      </c>
      <c r="G436">
        <v>21</v>
      </c>
      <c r="H436">
        <v>43700</v>
      </c>
      <c r="L436">
        <v>43910</v>
      </c>
    </row>
    <row r="437" spans="1:12" x14ac:dyDescent="0.35">
      <c r="A437" t="s">
        <v>287</v>
      </c>
      <c r="B437" t="s">
        <v>298</v>
      </c>
      <c r="C437" t="s">
        <v>296</v>
      </c>
      <c r="D437" t="s">
        <v>155</v>
      </c>
      <c r="E437">
        <v>2</v>
      </c>
      <c r="F437">
        <v>0</v>
      </c>
      <c r="G437">
        <v>0</v>
      </c>
      <c r="H437">
        <v>43704</v>
      </c>
    </row>
    <row r="438" spans="1:12" x14ac:dyDescent="0.35">
      <c r="A438" t="s">
        <v>193</v>
      </c>
      <c r="B438" t="s">
        <v>298</v>
      </c>
      <c r="C438" t="s">
        <v>296</v>
      </c>
      <c r="D438" t="s">
        <v>155</v>
      </c>
      <c r="E438">
        <v>1</v>
      </c>
      <c r="F438">
        <v>0</v>
      </c>
      <c r="G438">
        <v>0</v>
      </c>
      <c r="H438">
        <v>43704</v>
      </c>
    </row>
    <row r="439" spans="1:12" x14ac:dyDescent="0.35">
      <c r="A439" t="s">
        <v>266</v>
      </c>
      <c r="B439" t="s">
        <v>298</v>
      </c>
      <c r="C439" t="s">
        <v>296</v>
      </c>
      <c r="D439" t="s">
        <v>155</v>
      </c>
      <c r="E439">
        <v>5</v>
      </c>
      <c r="F439">
        <v>1</v>
      </c>
      <c r="G439">
        <v>0</v>
      </c>
      <c r="H439">
        <v>43704</v>
      </c>
      <c r="L439">
        <v>43910</v>
      </c>
    </row>
    <row r="440" spans="1:12" x14ac:dyDescent="0.35">
      <c r="A440" t="s">
        <v>266</v>
      </c>
      <c r="B440" t="s">
        <v>298</v>
      </c>
      <c r="C440" t="s">
        <v>173</v>
      </c>
      <c r="D440" t="s">
        <v>243</v>
      </c>
      <c r="E440">
        <v>25</v>
      </c>
      <c r="F440">
        <v>5</v>
      </c>
      <c r="G440">
        <v>2</v>
      </c>
      <c r="H440">
        <v>43711</v>
      </c>
      <c r="L440">
        <v>43910</v>
      </c>
    </row>
    <row r="441" spans="1:12" x14ac:dyDescent="0.35">
      <c r="A441" t="s">
        <v>193</v>
      </c>
      <c r="B441" t="s">
        <v>299</v>
      </c>
      <c r="C441" t="s">
        <v>296</v>
      </c>
      <c r="D441" t="s">
        <v>155</v>
      </c>
      <c r="E441">
        <v>1</v>
      </c>
      <c r="F441">
        <v>0</v>
      </c>
      <c r="G441">
        <v>0</v>
      </c>
      <c r="H441">
        <v>43712</v>
      </c>
      <c r="I441">
        <v>43712</v>
      </c>
    </row>
    <row r="442" spans="1:12" x14ac:dyDescent="0.35">
      <c r="A442" t="s">
        <v>266</v>
      </c>
      <c r="B442" t="s">
        <v>299</v>
      </c>
      <c r="C442" t="s">
        <v>296</v>
      </c>
      <c r="D442" t="s">
        <v>155</v>
      </c>
      <c r="E442">
        <v>7</v>
      </c>
      <c r="F442">
        <v>1</v>
      </c>
      <c r="G442">
        <v>0</v>
      </c>
      <c r="H442">
        <v>43712</v>
      </c>
      <c r="I442">
        <v>43712</v>
      </c>
      <c r="L442">
        <v>43910</v>
      </c>
    </row>
    <row r="443" spans="1:12" x14ac:dyDescent="0.35">
      <c r="A443" t="s">
        <v>287</v>
      </c>
      <c r="B443" t="s">
        <v>300</v>
      </c>
      <c r="C443" t="s">
        <v>296</v>
      </c>
      <c r="D443" t="s">
        <v>155</v>
      </c>
      <c r="E443">
        <v>18</v>
      </c>
      <c r="F443">
        <v>2</v>
      </c>
      <c r="G443">
        <v>1</v>
      </c>
      <c r="H443">
        <v>43712</v>
      </c>
      <c r="I443">
        <v>43712</v>
      </c>
    </row>
    <row r="444" spans="1:12" x14ac:dyDescent="0.35">
      <c r="A444" t="s">
        <v>266</v>
      </c>
      <c r="B444" t="s">
        <v>300</v>
      </c>
      <c r="C444" t="s">
        <v>296</v>
      </c>
      <c r="D444" t="s">
        <v>155</v>
      </c>
      <c r="E444">
        <v>12</v>
      </c>
      <c r="F444">
        <v>1</v>
      </c>
      <c r="G444">
        <v>1</v>
      </c>
      <c r="H444">
        <v>43712</v>
      </c>
      <c r="I444">
        <v>43712</v>
      </c>
      <c r="L444">
        <v>43910</v>
      </c>
    </row>
    <row r="445" spans="1:12" x14ac:dyDescent="0.35">
      <c r="A445" t="s">
        <v>266</v>
      </c>
      <c r="B445" t="s">
        <v>295</v>
      </c>
      <c r="C445" t="s">
        <v>132</v>
      </c>
      <c r="D445" t="s">
        <v>243</v>
      </c>
      <c r="E445">
        <v>2</v>
      </c>
      <c r="F445">
        <v>30.742400221824653</v>
      </c>
      <c r="G445">
        <v>12.296960088729861</v>
      </c>
      <c r="H445">
        <v>43714</v>
      </c>
      <c r="L445">
        <v>43910</v>
      </c>
    </row>
    <row r="446" spans="1:12" x14ac:dyDescent="0.35">
      <c r="A446" t="s">
        <v>219</v>
      </c>
      <c r="B446" t="s">
        <v>298</v>
      </c>
      <c r="C446" t="s">
        <v>246</v>
      </c>
      <c r="D446" t="s">
        <v>155</v>
      </c>
      <c r="E446">
        <v>12</v>
      </c>
      <c r="F446" t="s">
        <v>153</v>
      </c>
      <c r="G446">
        <v>1</v>
      </c>
      <c r="H446">
        <v>43720</v>
      </c>
      <c r="I446">
        <v>43720</v>
      </c>
      <c r="J446">
        <v>43753</v>
      </c>
      <c r="K446" t="s">
        <v>297</v>
      </c>
      <c r="L446">
        <v>43792</v>
      </c>
    </row>
    <row r="447" spans="1:12" x14ac:dyDescent="0.35">
      <c r="A447" t="s">
        <v>223</v>
      </c>
      <c r="B447" t="s">
        <v>298</v>
      </c>
      <c r="C447" t="s">
        <v>246</v>
      </c>
      <c r="D447" t="s">
        <v>155</v>
      </c>
      <c r="E447">
        <v>16</v>
      </c>
      <c r="F447" t="s">
        <v>153</v>
      </c>
      <c r="G447">
        <v>2</v>
      </c>
      <c r="H447">
        <v>43720</v>
      </c>
    </row>
    <row r="448" spans="1:12" x14ac:dyDescent="0.35">
      <c r="A448" t="s">
        <v>287</v>
      </c>
      <c r="B448" t="s">
        <v>298</v>
      </c>
      <c r="C448" t="s">
        <v>246</v>
      </c>
      <c r="D448" t="s">
        <v>155</v>
      </c>
      <c r="E448">
        <v>263</v>
      </c>
      <c r="F448" t="s">
        <v>153</v>
      </c>
      <c r="G448">
        <v>13</v>
      </c>
      <c r="H448">
        <v>43720</v>
      </c>
    </row>
    <row r="449" spans="1:12" x14ac:dyDescent="0.35">
      <c r="A449" t="s">
        <v>193</v>
      </c>
      <c r="B449" t="s">
        <v>298</v>
      </c>
      <c r="C449" t="s">
        <v>246</v>
      </c>
      <c r="D449" t="s">
        <v>155</v>
      </c>
      <c r="E449">
        <v>308</v>
      </c>
      <c r="F449" t="s">
        <v>153</v>
      </c>
      <c r="G449">
        <v>31</v>
      </c>
      <c r="H449">
        <v>43720</v>
      </c>
      <c r="I449">
        <v>43720</v>
      </c>
      <c r="J449">
        <v>43753</v>
      </c>
      <c r="K449" t="s">
        <v>297</v>
      </c>
    </row>
    <row r="450" spans="1:12" x14ac:dyDescent="0.35">
      <c r="A450" t="s">
        <v>266</v>
      </c>
      <c r="B450" t="s">
        <v>298</v>
      </c>
      <c r="C450" t="s">
        <v>246</v>
      </c>
      <c r="D450" t="s">
        <v>155</v>
      </c>
      <c r="F450" t="s">
        <v>153</v>
      </c>
      <c r="H450">
        <v>43720</v>
      </c>
      <c r="L450">
        <v>43910</v>
      </c>
    </row>
    <row r="451" spans="1:12" x14ac:dyDescent="0.35">
      <c r="A451" t="s">
        <v>266</v>
      </c>
      <c r="B451" t="s">
        <v>298</v>
      </c>
      <c r="C451" t="s">
        <v>132</v>
      </c>
      <c r="D451" t="s">
        <v>243</v>
      </c>
      <c r="E451">
        <v>2</v>
      </c>
      <c r="F451">
        <v>3</v>
      </c>
      <c r="G451">
        <v>1</v>
      </c>
      <c r="H451">
        <v>43727</v>
      </c>
      <c r="L451">
        <v>43910</v>
      </c>
    </row>
    <row r="452" spans="1:12" x14ac:dyDescent="0.35">
      <c r="A452" t="s">
        <v>219</v>
      </c>
      <c r="B452" t="s">
        <v>301</v>
      </c>
      <c r="C452" t="s">
        <v>302</v>
      </c>
      <c r="D452" t="s">
        <v>155</v>
      </c>
      <c r="E452">
        <v>14784</v>
      </c>
      <c r="F452">
        <v>6154.0552773136887</v>
      </c>
      <c r="G452">
        <v>3077.0276386568444</v>
      </c>
      <c r="H452">
        <v>43726</v>
      </c>
      <c r="I452">
        <v>43733</v>
      </c>
      <c r="J452">
        <v>43753</v>
      </c>
      <c r="K452" t="s">
        <v>297</v>
      </c>
      <c r="L452">
        <v>43792</v>
      </c>
    </row>
    <row r="453" spans="1:12" x14ac:dyDescent="0.35">
      <c r="A453" t="s">
        <v>303</v>
      </c>
      <c r="B453" t="s">
        <v>301</v>
      </c>
      <c r="C453" t="s">
        <v>302</v>
      </c>
      <c r="D453" t="s">
        <v>155</v>
      </c>
      <c r="E453">
        <v>65888</v>
      </c>
      <c r="F453">
        <v>104791</v>
      </c>
      <c r="G453" t="s">
        <v>153</v>
      </c>
      <c r="H453">
        <v>43726</v>
      </c>
      <c r="I453">
        <v>43733</v>
      </c>
      <c r="J453" t="e">
        <f>G453/F453</f>
        <v>#VALUE!</v>
      </c>
      <c r="K453" t="s">
        <v>304</v>
      </c>
    </row>
    <row r="454" spans="1:12" x14ac:dyDescent="0.35">
      <c r="A454" t="s">
        <v>211</v>
      </c>
      <c r="B454" t="s">
        <v>301</v>
      </c>
      <c r="C454" t="s">
        <v>302</v>
      </c>
      <c r="D454" t="s">
        <v>155</v>
      </c>
      <c r="E454">
        <v>1490</v>
      </c>
      <c r="F454">
        <v>1968.5457324066385</v>
      </c>
      <c r="G454">
        <v>984.27286620331927</v>
      </c>
      <c r="H454">
        <v>43726</v>
      </c>
      <c r="I454">
        <v>43733</v>
      </c>
      <c r="J454">
        <v>43753</v>
      </c>
      <c r="K454" t="s">
        <v>297</v>
      </c>
      <c r="L454">
        <v>43817</v>
      </c>
    </row>
    <row r="455" spans="1:12" x14ac:dyDescent="0.35">
      <c r="A455" t="s">
        <v>152</v>
      </c>
      <c r="B455" t="s">
        <v>301</v>
      </c>
      <c r="C455" t="s">
        <v>302</v>
      </c>
      <c r="D455" t="s">
        <v>155</v>
      </c>
      <c r="E455">
        <v>16637</v>
      </c>
      <c r="F455">
        <v>26937.471956663485</v>
      </c>
      <c r="G455" t="s">
        <v>153</v>
      </c>
      <c r="H455">
        <v>43726</v>
      </c>
      <c r="I455">
        <v>43733</v>
      </c>
      <c r="J455" t="e">
        <f>G455/F455</f>
        <v>#VALUE!</v>
      </c>
    </row>
    <row r="456" spans="1:12" x14ac:dyDescent="0.35">
      <c r="A456" t="s">
        <v>265</v>
      </c>
      <c r="B456" t="s">
        <v>301</v>
      </c>
      <c r="C456" t="s">
        <v>302</v>
      </c>
      <c r="D456" t="s">
        <v>155</v>
      </c>
      <c r="E456">
        <v>329</v>
      </c>
      <c r="F456">
        <v>297.84648384786141</v>
      </c>
      <c r="G456">
        <v>148.9232419239307</v>
      </c>
      <c r="H456">
        <v>43726</v>
      </c>
      <c r="I456">
        <v>43733</v>
      </c>
      <c r="L456">
        <v>43812</v>
      </c>
    </row>
    <row r="457" spans="1:12" x14ac:dyDescent="0.35">
      <c r="A457" t="s">
        <v>208</v>
      </c>
      <c r="B457" t="s">
        <v>301</v>
      </c>
      <c r="C457" t="s">
        <v>302</v>
      </c>
      <c r="D457" t="s">
        <v>155</v>
      </c>
      <c r="E457">
        <v>2399</v>
      </c>
      <c r="F457">
        <v>2422.097927506285</v>
      </c>
      <c r="G457">
        <v>1211.0489637531425</v>
      </c>
      <c r="H457">
        <v>43726</v>
      </c>
      <c r="I457">
        <v>43733</v>
      </c>
      <c r="J457">
        <f t="shared" ref="J457:J466" si="1">G457/F457</f>
        <v>0.5</v>
      </c>
    </row>
    <row r="458" spans="1:12" x14ac:dyDescent="0.35">
      <c r="A458" t="s">
        <v>209</v>
      </c>
      <c r="B458" t="s">
        <v>301</v>
      </c>
      <c r="C458" t="s">
        <v>302</v>
      </c>
      <c r="D458" t="s">
        <v>155</v>
      </c>
      <c r="E458">
        <v>9115</v>
      </c>
      <c r="F458">
        <v>2704.3802458522373</v>
      </c>
      <c r="G458">
        <v>1352.1901229261186</v>
      </c>
      <c r="H458">
        <v>43726</v>
      </c>
      <c r="J458">
        <f t="shared" si="1"/>
        <v>0.5</v>
      </c>
      <c r="K458" t="s">
        <v>305</v>
      </c>
    </row>
    <row r="459" spans="1:12" x14ac:dyDescent="0.35">
      <c r="A459" t="s">
        <v>158</v>
      </c>
      <c r="B459" t="s">
        <v>301</v>
      </c>
      <c r="C459" t="s">
        <v>302</v>
      </c>
      <c r="D459" t="s">
        <v>155</v>
      </c>
      <c r="E459">
        <v>24</v>
      </c>
      <c r="F459">
        <v>33.634819261230454</v>
      </c>
      <c r="G459" t="s">
        <v>153</v>
      </c>
      <c r="H459">
        <v>43726</v>
      </c>
      <c r="I459">
        <v>43733</v>
      </c>
      <c r="J459" t="e">
        <f t="shared" si="1"/>
        <v>#VALUE!</v>
      </c>
    </row>
    <row r="460" spans="1:12" x14ac:dyDescent="0.35">
      <c r="A460" t="s">
        <v>210</v>
      </c>
      <c r="B460" t="s">
        <v>301</v>
      </c>
      <c r="C460" t="s">
        <v>302</v>
      </c>
      <c r="D460" t="s">
        <v>155</v>
      </c>
      <c r="E460">
        <v>1603</v>
      </c>
      <c r="F460">
        <v>1576.0275660971686</v>
      </c>
      <c r="G460">
        <v>472.80826982915045</v>
      </c>
      <c r="H460">
        <v>43726</v>
      </c>
      <c r="J460">
        <f t="shared" si="1"/>
        <v>0.29999999999999993</v>
      </c>
    </row>
    <row r="461" spans="1:12" x14ac:dyDescent="0.35">
      <c r="A461" t="s">
        <v>159</v>
      </c>
      <c r="B461" t="s">
        <v>301</v>
      </c>
      <c r="C461" t="s">
        <v>302</v>
      </c>
      <c r="D461" t="s">
        <v>155</v>
      </c>
      <c r="E461">
        <v>35455</v>
      </c>
      <c r="F461">
        <v>50313.079984615142</v>
      </c>
      <c r="G461" t="s">
        <v>153</v>
      </c>
      <c r="H461">
        <v>43726</v>
      </c>
      <c r="I461">
        <v>43733</v>
      </c>
      <c r="J461" t="e">
        <f t="shared" si="1"/>
        <v>#VALUE!</v>
      </c>
    </row>
    <row r="462" spans="1:12" x14ac:dyDescent="0.35">
      <c r="A462" t="s">
        <v>30</v>
      </c>
      <c r="B462" t="s">
        <v>301</v>
      </c>
      <c r="C462" t="s">
        <v>302</v>
      </c>
      <c r="D462" t="s">
        <v>155</v>
      </c>
      <c r="E462">
        <v>120439</v>
      </c>
      <c r="F462">
        <v>106206.59099475858</v>
      </c>
      <c r="G462">
        <v>53103.295497379288</v>
      </c>
      <c r="H462">
        <v>43726</v>
      </c>
      <c r="I462">
        <v>43733</v>
      </c>
      <c r="J462">
        <f t="shared" si="1"/>
        <v>0.5</v>
      </c>
    </row>
    <row r="463" spans="1:12" x14ac:dyDescent="0.35">
      <c r="A463" t="s">
        <v>212</v>
      </c>
      <c r="B463" t="s">
        <v>301</v>
      </c>
      <c r="C463" t="s">
        <v>302</v>
      </c>
      <c r="D463" t="s">
        <v>155</v>
      </c>
      <c r="E463">
        <v>71996</v>
      </c>
      <c r="F463">
        <v>40461.913417876174</v>
      </c>
      <c r="G463">
        <v>20230.956708938087</v>
      </c>
      <c r="H463">
        <v>43726</v>
      </c>
      <c r="J463">
        <f t="shared" si="1"/>
        <v>0.5</v>
      </c>
    </row>
    <row r="464" spans="1:12" x14ac:dyDescent="0.35">
      <c r="A464" t="s">
        <v>288</v>
      </c>
      <c r="B464" t="s">
        <v>301</v>
      </c>
      <c r="C464" t="s">
        <v>302</v>
      </c>
      <c r="D464" t="s">
        <v>155</v>
      </c>
      <c r="E464">
        <v>6</v>
      </c>
      <c r="F464">
        <v>4</v>
      </c>
      <c r="G464">
        <v>2</v>
      </c>
      <c r="H464">
        <v>43726</v>
      </c>
      <c r="I464">
        <v>43733</v>
      </c>
      <c r="J464">
        <f t="shared" si="1"/>
        <v>0.5</v>
      </c>
    </row>
    <row r="465" spans="1:12" x14ac:dyDescent="0.35">
      <c r="A465" t="s">
        <v>213</v>
      </c>
      <c r="B465" t="s">
        <v>301</v>
      </c>
      <c r="C465" t="s">
        <v>302</v>
      </c>
      <c r="D465" t="s">
        <v>155</v>
      </c>
      <c r="E465">
        <v>940</v>
      </c>
      <c r="F465">
        <v>754.58435519785758</v>
      </c>
      <c r="G465">
        <v>226.37530655935731</v>
      </c>
      <c r="H465">
        <v>43726</v>
      </c>
      <c r="I465">
        <v>43733</v>
      </c>
      <c r="J465">
        <f t="shared" si="1"/>
        <v>0.30000000000000004</v>
      </c>
      <c r="L465">
        <v>43989</v>
      </c>
    </row>
    <row r="466" spans="1:12" x14ac:dyDescent="0.35">
      <c r="A466" t="s">
        <v>120</v>
      </c>
      <c r="B466" t="s">
        <v>301</v>
      </c>
      <c r="C466" t="s">
        <v>302</v>
      </c>
      <c r="D466" t="s">
        <v>155</v>
      </c>
      <c r="E466">
        <v>5670</v>
      </c>
      <c r="F466">
        <v>21730.17311173079</v>
      </c>
      <c r="G466" t="s">
        <v>153</v>
      </c>
      <c r="H466">
        <v>43726</v>
      </c>
      <c r="I466">
        <v>43733</v>
      </c>
      <c r="J466" t="e">
        <f t="shared" si="1"/>
        <v>#VALUE!</v>
      </c>
    </row>
    <row r="467" spans="1:12" x14ac:dyDescent="0.35">
      <c r="A467" t="s">
        <v>190</v>
      </c>
      <c r="B467" t="s">
        <v>301</v>
      </c>
      <c r="C467" t="s">
        <v>302</v>
      </c>
      <c r="D467" t="s">
        <v>155</v>
      </c>
      <c r="E467">
        <v>22523</v>
      </c>
      <c r="F467">
        <v>10335.650949453582</v>
      </c>
      <c r="G467">
        <v>5167.8254747267911</v>
      </c>
      <c r="H467">
        <v>43726</v>
      </c>
      <c r="I467">
        <v>43733</v>
      </c>
      <c r="J467">
        <v>43753</v>
      </c>
      <c r="K467" t="s">
        <v>297</v>
      </c>
      <c r="L467">
        <v>44201</v>
      </c>
    </row>
    <row r="468" spans="1:12" x14ac:dyDescent="0.35">
      <c r="A468" t="s">
        <v>162</v>
      </c>
      <c r="B468" t="s">
        <v>301</v>
      </c>
      <c r="C468" t="s">
        <v>302</v>
      </c>
      <c r="D468" t="s">
        <v>155</v>
      </c>
      <c r="E468">
        <v>8587</v>
      </c>
      <c r="F468">
        <v>10091.399121869263</v>
      </c>
      <c r="G468">
        <v>6054.8394731215576</v>
      </c>
      <c r="H468">
        <v>43726</v>
      </c>
      <c r="I468">
        <v>43733</v>
      </c>
      <c r="J468">
        <v>43753</v>
      </c>
      <c r="K468" t="s">
        <v>297</v>
      </c>
      <c r="L468">
        <v>43989</v>
      </c>
    </row>
    <row r="469" spans="1:12" x14ac:dyDescent="0.35">
      <c r="A469" t="s">
        <v>214</v>
      </c>
      <c r="B469" t="s">
        <v>301</v>
      </c>
      <c r="C469" t="s">
        <v>302</v>
      </c>
      <c r="D469" t="s">
        <v>155</v>
      </c>
      <c r="E469">
        <v>13</v>
      </c>
      <c r="F469">
        <v>3</v>
      </c>
      <c r="G469">
        <v>1</v>
      </c>
      <c r="H469">
        <v>43726</v>
      </c>
      <c r="I469">
        <v>43733</v>
      </c>
      <c r="J469">
        <f>G469/F469</f>
        <v>0.33333333333333331</v>
      </c>
    </row>
    <row r="470" spans="1:12" x14ac:dyDescent="0.35">
      <c r="A470" t="s">
        <v>283</v>
      </c>
      <c r="B470" t="s">
        <v>301</v>
      </c>
      <c r="C470" t="s">
        <v>302</v>
      </c>
      <c r="D470" t="s">
        <v>155</v>
      </c>
      <c r="E470">
        <v>632</v>
      </c>
      <c r="F470">
        <v>831.56563098014703</v>
      </c>
      <c r="G470">
        <v>415.78281549007352</v>
      </c>
      <c r="H470">
        <v>43726</v>
      </c>
      <c r="I470">
        <v>43733</v>
      </c>
      <c r="L470">
        <v>43872</v>
      </c>
    </row>
    <row r="471" spans="1:12" x14ac:dyDescent="0.35">
      <c r="A471" t="s">
        <v>306</v>
      </c>
      <c r="B471" t="s">
        <v>301</v>
      </c>
      <c r="C471" t="s">
        <v>302</v>
      </c>
      <c r="D471" t="s">
        <v>155</v>
      </c>
      <c r="E471">
        <v>512</v>
      </c>
      <c r="F471">
        <v>682</v>
      </c>
      <c r="G471" t="s">
        <v>153</v>
      </c>
      <c r="H471">
        <v>43726</v>
      </c>
      <c r="I471">
        <v>43733</v>
      </c>
      <c r="L471">
        <v>43872</v>
      </c>
    </row>
    <row r="472" spans="1:12" x14ac:dyDescent="0.35">
      <c r="A472" t="s">
        <v>82</v>
      </c>
      <c r="B472" t="s">
        <v>301</v>
      </c>
      <c r="C472" t="s">
        <v>302</v>
      </c>
      <c r="D472" t="s">
        <v>155</v>
      </c>
      <c r="E472">
        <v>18</v>
      </c>
      <c r="F472">
        <v>22</v>
      </c>
      <c r="G472">
        <v>11</v>
      </c>
      <c r="H472">
        <v>43726</v>
      </c>
      <c r="I472">
        <v>43733</v>
      </c>
      <c r="J472">
        <f>G472/F472</f>
        <v>0.5</v>
      </c>
    </row>
    <row r="473" spans="1:12" x14ac:dyDescent="0.35">
      <c r="A473" t="s">
        <v>151</v>
      </c>
      <c r="B473" t="s">
        <v>301</v>
      </c>
      <c r="C473" t="s">
        <v>302</v>
      </c>
      <c r="D473" t="s">
        <v>155</v>
      </c>
      <c r="E473">
        <v>1465629</v>
      </c>
      <c r="F473">
        <v>1402359.7797174458</v>
      </c>
      <c r="G473">
        <v>841297.97904144949</v>
      </c>
      <c r="H473">
        <v>43726</v>
      </c>
      <c r="I473">
        <v>43733</v>
      </c>
      <c r="J473">
        <f>G473/F473</f>
        <v>0.59991593541777011</v>
      </c>
    </row>
    <row r="474" spans="1:12" x14ac:dyDescent="0.35">
      <c r="A474" t="s">
        <v>193</v>
      </c>
      <c r="B474" t="s">
        <v>301</v>
      </c>
      <c r="C474" t="s">
        <v>302</v>
      </c>
      <c r="D474" t="s">
        <v>155</v>
      </c>
      <c r="E474">
        <v>20471</v>
      </c>
      <c r="F474">
        <v>21241.811229464758</v>
      </c>
      <c r="G474">
        <v>10620.905614732379</v>
      </c>
      <c r="H474">
        <v>43726</v>
      </c>
      <c r="I474">
        <v>43733</v>
      </c>
      <c r="J474">
        <v>43753</v>
      </c>
      <c r="K474" t="s">
        <v>307</v>
      </c>
    </row>
    <row r="475" spans="1:12" x14ac:dyDescent="0.35">
      <c r="A475" t="s">
        <v>215</v>
      </c>
      <c r="B475" t="s">
        <v>301</v>
      </c>
      <c r="C475" t="s">
        <v>302</v>
      </c>
      <c r="D475" t="s">
        <v>155</v>
      </c>
      <c r="E475">
        <v>127</v>
      </c>
      <c r="F475">
        <v>73.758830876909187</v>
      </c>
      <c r="G475">
        <v>36.879415438454593</v>
      </c>
      <c r="H475">
        <v>43726</v>
      </c>
      <c r="I475">
        <v>43733</v>
      </c>
      <c r="J475">
        <f>G475/F475</f>
        <v>0.5</v>
      </c>
    </row>
    <row r="476" spans="1:12" x14ac:dyDescent="0.35">
      <c r="A476" t="s">
        <v>266</v>
      </c>
      <c r="B476" t="s">
        <v>301</v>
      </c>
      <c r="C476" t="s">
        <v>302</v>
      </c>
      <c r="D476" t="s">
        <v>155</v>
      </c>
      <c r="E476">
        <v>5925</v>
      </c>
      <c r="F476">
        <v>9755.0021277002379</v>
      </c>
      <c r="G476">
        <v>3902.0008510800953</v>
      </c>
      <c r="H476">
        <v>43726</v>
      </c>
      <c r="I476">
        <v>43733</v>
      </c>
      <c r="L476">
        <v>43910</v>
      </c>
    </row>
    <row r="477" spans="1:12" x14ac:dyDescent="0.35">
      <c r="A477" t="s">
        <v>183</v>
      </c>
      <c r="B477" t="s">
        <v>301</v>
      </c>
      <c r="C477" t="s">
        <v>302</v>
      </c>
      <c r="D477" t="s">
        <v>155</v>
      </c>
      <c r="E477">
        <v>722978</v>
      </c>
      <c r="F477">
        <v>1113525.7800246878</v>
      </c>
      <c r="G477" t="s">
        <v>153</v>
      </c>
      <c r="H477">
        <v>43726</v>
      </c>
      <c r="I477">
        <v>43734</v>
      </c>
      <c r="K477" t="s">
        <v>308</v>
      </c>
    </row>
    <row r="478" spans="1:12" x14ac:dyDescent="0.35">
      <c r="A478" t="s">
        <v>267</v>
      </c>
      <c r="B478" t="s">
        <v>301</v>
      </c>
      <c r="C478" t="s">
        <v>302</v>
      </c>
      <c r="D478" t="s">
        <v>155</v>
      </c>
      <c r="E478">
        <v>182527</v>
      </c>
      <c r="F478">
        <v>248105.48269356176</v>
      </c>
      <c r="G478" t="s">
        <v>153</v>
      </c>
      <c r="H478">
        <v>43726</v>
      </c>
      <c r="I478">
        <v>43734</v>
      </c>
    </row>
    <row r="479" spans="1:12" x14ac:dyDescent="0.35">
      <c r="A479" t="s">
        <v>186</v>
      </c>
      <c r="B479" t="s">
        <v>301</v>
      </c>
      <c r="C479" t="s">
        <v>302</v>
      </c>
      <c r="D479" t="s">
        <v>155</v>
      </c>
      <c r="E479">
        <v>6297</v>
      </c>
      <c r="F479">
        <v>4282.8515266358017</v>
      </c>
      <c r="G479">
        <v>2141.4257633179009</v>
      </c>
      <c r="H479">
        <v>43726</v>
      </c>
      <c r="I479">
        <v>43733</v>
      </c>
      <c r="J479">
        <f>G479/F479</f>
        <v>0.5</v>
      </c>
    </row>
    <row r="480" spans="1:12" x14ac:dyDescent="0.35">
      <c r="A480" t="s">
        <v>268</v>
      </c>
      <c r="B480" t="s">
        <v>301</v>
      </c>
      <c r="C480" t="s">
        <v>302</v>
      </c>
      <c r="D480" t="s">
        <v>155</v>
      </c>
      <c r="E480">
        <v>23432</v>
      </c>
      <c r="F480">
        <v>17046.664290137418</v>
      </c>
      <c r="G480">
        <v>6818.6657160549694</v>
      </c>
      <c r="H480">
        <v>43726</v>
      </c>
      <c r="I480">
        <v>43733</v>
      </c>
      <c r="J480">
        <v>43753</v>
      </c>
      <c r="K480" t="s">
        <v>309</v>
      </c>
      <c r="L480">
        <v>43801</v>
      </c>
    </row>
    <row r="481" spans="1:12" x14ac:dyDescent="0.35">
      <c r="A481" t="s">
        <v>219</v>
      </c>
      <c r="B481" t="s">
        <v>298</v>
      </c>
      <c r="C481" t="s">
        <v>250</v>
      </c>
      <c r="D481" t="s">
        <v>155</v>
      </c>
      <c r="E481">
        <v>6</v>
      </c>
      <c r="F481">
        <v>0.62487167119979903</v>
      </c>
      <c r="G481">
        <v>0.31243583559989951</v>
      </c>
      <c r="H481">
        <v>43732</v>
      </c>
      <c r="I481">
        <v>43732</v>
      </c>
      <c r="J481">
        <v>43753</v>
      </c>
      <c r="K481" t="s">
        <v>297</v>
      </c>
      <c r="L481">
        <v>43792</v>
      </c>
    </row>
    <row r="482" spans="1:12" x14ac:dyDescent="0.35">
      <c r="A482" t="s">
        <v>287</v>
      </c>
      <c r="B482" t="s">
        <v>298</v>
      </c>
      <c r="C482" t="s">
        <v>250</v>
      </c>
      <c r="D482" t="s">
        <v>155</v>
      </c>
      <c r="E482">
        <v>164</v>
      </c>
      <c r="F482">
        <v>17.079825773835196</v>
      </c>
      <c r="G482">
        <v>8.5399128869175982</v>
      </c>
      <c r="H482">
        <v>43732</v>
      </c>
    </row>
    <row r="483" spans="1:12" x14ac:dyDescent="0.35">
      <c r="A483" t="s">
        <v>193</v>
      </c>
      <c r="B483" t="s">
        <v>298</v>
      </c>
      <c r="C483" t="s">
        <v>250</v>
      </c>
      <c r="D483" t="s">
        <v>155</v>
      </c>
      <c r="E483">
        <v>4</v>
      </c>
      <c r="F483">
        <v>0.41658109426498402</v>
      </c>
      <c r="G483">
        <v>0.20829054713249201</v>
      </c>
      <c r="H483">
        <v>43732</v>
      </c>
    </row>
    <row r="484" spans="1:12" x14ac:dyDescent="0.35">
      <c r="A484" t="s">
        <v>266</v>
      </c>
      <c r="B484" t="s">
        <v>298</v>
      </c>
      <c r="C484" t="s">
        <v>250</v>
      </c>
      <c r="D484" t="s">
        <v>155</v>
      </c>
      <c r="E484">
        <v>266</v>
      </c>
      <c r="F484">
        <v>27.702643573284131</v>
      </c>
      <c r="G484">
        <v>11.081057429313653</v>
      </c>
      <c r="H484">
        <v>43732</v>
      </c>
      <c r="L484">
        <v>43910</v>
      </c>
    </row>
    <row r="485" spans="1:12" x14ac:dyDescent="0.35">
      <c r="A485" t="s">
        <v>219</v>
      </c>
      <c r="B485" t="s">
        <v>299</v>
      </c>
      <c r="C485" t="s">
        <v>236</v>
      </c>
      <c r="D485" t="s">
        <v>155</v>
      </c>
      <c r="E485">
        <v>12</v>
      </c>
      <c r="F485">
        <v>0.6056204706444438</v>
      </c>
      <c r="G485">
        <v>0.3028102353222219</v>
      </c>
      <c r="H485">
        <v>43738</v>
      </c>
      <c r="I485">
        <v>43738</v>
      </c>
      <c r="J485">
        <v>43753</v>
      </c>
      <c r="K485" t="s">
        <v>297</v>
      </c>
      <c r="L485">
        <v>43792</v>
      </c>
    </row>
    <row r="486" spans="1:12" x14ac:dyDescent="0.35">
      <c r="A486" t="s">
        <v>223</v>
      </c>
      <c r="B486" t="s">
        <v>299</v>
      </c>
      <c r="C486" t="s">
        <v>236</v>
      </c>
      <c r="D486" t="s">
        <v>155</v>
      </c>
      <c r="E486">
        <v>42</v>
      </c>
      <c r="F486">
        <v>2</v>
      </c>
      <c r="G486">
        <v>1</v>
      </c>
      <c r="H486">
        <v>43738</v>
      </c>
    </row>
    <row r="487" spans="1:12" x14ac:dyDescent="0.35">
      <c r="A487" t="s">
        <v>287</v>
      </c>
      <c r="B487" t="s">
        <v>299</v>
      </c>
      <c r="C487" t="s">
        <v>236</v>
      </c>
      <c r="D487" t="s">
        <v>155</v>
      </c>
      <c r="E487">
        <v>99</v>
      </c>
      <c r="F487">
        <v>5.1589891943786021</v>
      </c>
      <c r="G487">
        <v>2.5794945971893011</v>
      </c>
      <c r="H487">
        <v>43738</v>
      </c>
    </row>
    <row r="488" spans="1:12" x14ac:dyDescent="0.35">
      <c r="A488" t="s">
        <v>288</v>
      </c>
      <c r="B488" t="s">
        <v>299</v>
      </c>
      <c r="C488" t="s">
        <v>236</v>
      </c>
      <c r="D488" t="s">
        <v>155</v>
      </c>
      <c r="E488">
        <v>3</v>
      </c>
      <c r="F488">
        <v>0.11215193900823066</v>
      </c>
      <c r="G488">
        <v>5.6075969504115329E-2</v>
      </c>
      <c r="H488">
        <v>43738</v>
      </c>
    </row>
    <row r="489" spans="1:12" x14ac:dyDescent="0.35">
      <c r="A489" t="s">
        <v>193</v>
      </c>
      <c r="B489" t="s">
        <v>299</v>
      </c>
      <c r="C489" t="s">
        <v>236</v>
      </c>
      <c r="D489" t="s">
        <v>155</v>
      </c>
      <c r="E489">
        <v>3</v>
      </c>
      <c r="F489">
        <v>0.11215193900823066</v>
      </c>
      <c r="G489">
        <v>5.6075969504115329E-2</v>
      </c>
      <c r="H489">
        <v>43738</v>
      </c>
    </row>
    <row r="490" spans="1:12" x14ac:dyDescent="0.35">
      <c r="A490" t="s">
        <v>266</v>
      </c>
      <c r="B490" t="s">
        <v>299</v>
      </c>
      <c r="C490" t="s">
        <v>236</v>
      </c>
      <c r="D490" t="s">
        <v>155</v>
      </c>
      <c r="E490">
        <v>16</v>
      </c>
      <c r="F490">
        <v>0.79</v>
      </c>
      <c r="G490">
        <v>0.31</v>
      </c>
      <c r="H490">
        <v>43738</v>
      </c>
      <c r="L490">
        <v>43910</v>
      </c>
    </row>
    <row r="491" spans="1:12" x14ac:dyDescent="0.35">
      <c r="A491" t="s">
        <v>287</v>
      </c>
      <c r="B491" t="s">
        <v>292</v>
      </c>
      <c r="C491" t="s">
        <v>290</v>
      </c>
      <c r="D491" t="s">
        <v>155</v>
      </c>
      <c r="E491">
        <v>372</v>
      </c>
      <c r="F491">
        <v>24</v>
      </c>
      <c r="G491">
        <v>12</v>
      </c>
      <c r="H491">
        <v>43741</v>
      </c>
    </row>
    <row r="492" spans="1:12" x14ac:dyDescent="0.35">
      <c r="A492" t="s">
        <v>266</v>
      </c>
      <c r="B492" t="s">
        <v>292</v>
      </c>
      <c r="C492" t="s">
        <v>290</v>
      </c>
      <c r="D492" t="s">
        <v>155</v>
      </c>
      <c r="E492">
        <v>8694</v>
      </c>
      <c r="F492">
        <v>564.67735463605436</v>
      </c>
      <c r="G492">
        <v>225.87094185442174</v>
      </c>
      <c r="H492">
        <v>43741</v>
      </c>
      <c r="L492">
        <v>43910</v>
      </c>
    </row>
    <row r="493" spans="1:12" x14ac:dyDescent="0.35">
      <c r="A493" t="s">
        <v>219</v>
      </c>
      <c r="B493" t="s">
        <v>298</v>
      </c>
      <c r="C493" t="s">
        <v>240</v>
      </c>
      <c r="D493" t="s">
        <v>155</v>
      </c>
      <c r="E493">
        <v>20</v>
      </c>
      <c r="F493">
        <v>5</v>
      </c>
      <c r="G493">
        <v>3</v>
      </c>
      <c r="H493">
        <v>43745</v>
      </c>
      <c r="I493">
        <v>43745</v>
      </c>
      <c r="J493">
        <v>43815</v>
      </c>
      <c r="K493" t="s">
        <v>310</v>
      </c>
      <c r="L493">
        <v>43862</v>
      </c>
    </row>
    <row r="494" spans="1:12" x14ac:dyDescent="0.35">
      <c r="A494" t="s">
        <v>230</v>
      </c>
      <c r="B494" t="s">
        <v>298</v>
      </c>
      <c r="C494" t="s">
        <v>240</v>
      </c>
      <c r="D494" t="s">
        <v>155</v>
      </c>
      <c r="E494">
        <v>10</v>
      </c>
      <c r="F494">
        <v>3</v>
      </c>
      <c r="G494">
        <v>1</v>
      </c>
      <c r="H494">
        <v>43745</v>
      </c>
      <c r="I494">
        <v>43745</v>
      </c>
    </row>
    <row r="495" spans="1:12" x14ac:dyDescent="0.35">
      <c r="A495" t="s">
        <v>193</v>
      </c>
      <c r="B495" t="s">
        <v>298</v>
      </c>
      <c r="C495" t="s">
        <v>240</v>
      </c>
      <c r="D495" t="s">
        <v>155</v>
      </c>
      <c r="E495">
        <v>3</v>
      </c>
      <c r="F495">
        <v>1</v>
      </c>
      <c r="G495">
        <v>0</v>
      </c>
      <c r="H495">
        <v>43745</v>
      </c>
      <c r="I495">
        <v>43745</v>
      </c>
    </row>
    <row r="496" spans="1:12" x14ac:dyDescent="0.35">
      <c r="A496" t="s">
        <v>266</v>
      </c>
      <c r="B496" t="s">
        <v>298</v>
      </c>
      <c r="C496" t="s">
        <v>240</v>
      </c>
      <c r="D496" t="s">
        <v>155</v>
      </c>
      <c r="E496">
        <v>1</v>
      </c>
      <c r="F496">
        <v>0</v>
      </c>
      <c r="G496">
        <v>0</v>
      </c>
      <c r="H496">
        <v>43745</v>
      </c>
      <c r="I496">
        <v>43745</v>
      </c>
      <c r="L496">
        <v>43910</v>
      </c>
    </row>
    <row r="497" spans="1:12" x14ac:dyDescent="0.35">
      <c r="A497" t="s">
        <v>219</v>
      </c>
      <c r="B497" t="s">
        <v>299</v>
      </c>
      <c r="C497" t="s">
        <v>250</v>
      </c>
      <c r="D497" t="s">
        <v>155</v>
      </c>
      <c r="E497">
        <v>6</v>
      </c>
      <c r="F497">
        <v>1</v>
      </c>
      <c r="G497">
        <v>0</v>
      </c>
      <c r="H497">
        <v>43749</v>
      </c>
      <c r="I497">
        <v>43749</v>
      </c>
      <c r="J497">
        <v>43815</v>
      </c>
      <c r="K497" t="s">
        <v>310</v>
      </c>
      <c r="L497">
        <v>43862</v>
      </c>
    </row>
    <row r="498" spans="1:12" x14ac:dyDescent="0.35">
      <c r="A498" t="s">
        <v>287</v>
      </c>
      <c r="B498" t="s">
        <v>299</v>
      </c>
      <c r="C498" t="s">
        <v>250</v>
      </c>
      <c r="D498" t="s">
        <v>155</v>
      </c>
      <c r="E498">
        <v>231</v>
      </c>
      <c r="F498">
        <v>27.223591566085833</v>
      </c>
      <c r="G498">
        <v>13.611795783042917</v>
      </c>
      <c r="H498">
        <v>43749</v>
      </c>
      <c r="I498">
        <v>43749</v>
      </c>
    </row>
    <row r="499" spans="1:12" x14ac:dyDescent="0.35">
      <c r="A499" t="s">
        <v>230</v>
      </c>
      <c r="B499" t="s">
        <v>299</v>
      </c>
      <c r="C499" t="s">
        <v>250</v>
      </c>
      <c r="D499" t="s">
        <v>155</v>
      </c>
      <c r="E499">
        <v>2</v>
      </c>
      <c r="F499">
        <v>0</v>
      </c>
      <c r="G499">
        <v>0</v>
      </c>
      <c r="H499">
        <v>43749</v>
      </c>
      <c r="I499">
        <v>43749</v>
      </c>
    </row>
    <row r="500" spans="1:12" x14ac:dyDescent="0.35">
      <c r="A500" t="s">
        <v>193</v>
      </c>
      <c r="B500" t="s">
        <v>299</v>
      </c>
      <c r="C500" t="s">
        <v>250</v>
      </c>
      <c r="D500" t="s">
        <v>155</v>
      </c>
      <c r="E500">
        <v>3</v>
      </c>
      <c r="F500">
        <v>0</v>
      </c>
      <c r="G500">
        <v>0</v>
      </c>
      <c r="H500">
        <v>43749</v>
      </c>
      <c r="I500">
        <v>43749</v>
      </c>
    </row>
    <row r="501" spans="1:12" x14ac:dyDescent="0.35">
      <c r="A501" t="s">
        <v>266</v>
      </c>
      <c r="B501" t="s">
        <v>299</v>
      </c>
      <c r="C501" t="s">
        <v>250</v>
      </c>
      <c r="D501" t="s">
        <v>155</v>
      </c>
      <c r="E501">
        <v>165</v>
      </c>
      <c r="F501">
        <v>19.445423066616062</v>
      </c>
      <c r="G501">
        <v>7.7781692266464244</v>
      </c>
      <c r="H501">
        <v>43749</v>
      </c>
      <c r="I501">
        <v>43749</v>
      </c>
      <c r="L501">
        <v>43910</v>
      </c>
    </row>
    <row r="502" spans="1:12" x14ac:dyDescent="0.35">
      <c r="A502" t="s">
        <v>219</v>
      </c>
      <c r="B502" t="s">
        <v>299</v>
      </c>
      <c r="C502" t="s">
        <v>246</v>
      </c>
      <c r="D502" t="s">
        <v>155</v>
      </c>
      <c r="E502">
        <v>7890</v>
      </c>
      <c r="F502" t="s">
        <v>153</v>
      </c>
      <c r="G502">
        <v>789</v>
      </c>
      <c r="H502">
        <v>43763</v>
      </c>
      <c r="I502">
        <v>43763</v>
      </c>
      <c r="J502">
        <v>43815</v>
      </c>
      <c r="K502" t="s">
        <v>310</v>
      </c>
      <c r="L502">
        <v>43862</v>
      </c>
    </row>
    <row r="503" spans="1:12" x14ac:dyDescent="0.35">
      <c r="A503" t="s">
        <v>223</v>
      </c>
      <c r="B503" t="s">
        <v>299</v>
      </c>
      <c r="C503" t="s">
        <v>302</v>
      </c>
      <c r="D503" t="s">
        <v>155</v>
      </c>
      <c r="E503">
        <v>13</v>
      </c>
      <c r="F503" t="s">
        <v>153</v>
      </c>
      <c r="G503">
        <v>1</v>
      </c>
      <c r="H503">
        <v>43763</v>
      </c>
    </row>
    <row r="504" spans="1:12" x14ac:dyDescent="0.35">
      <c r="A504" t="s">
        <v>287</v>
      </c>
      <c r="B504" t="s">
        <v>299</v>
      </c>
      <c r="C504" t="s">
        <v>302</v>
      </c>
      <c r="D504" t="s">
        <v>155</v>
      </c>
      <c r="E504">
        <v>122</v>
      </c>
      <c r="F504" t="s">
        <v>153</v>
      </c>
      <c r="G504">
        <v>6</v>
      </c>
      <c r="H504">
        <v>43763</v>
      </c>
    </row>
    <row r="505" spans="1:12" x14ac:dyDescent="0.35">
      <c r="A505" t="s">
        <v>193</v>
      </c>
      <c r="B505" t="s">
        <v>299</v>
      </c>
      <c r="C505" t="s">
        <v>246</v>
      </c>
      <c r="D505" t="s">
        <v>155</v>
      </c>
      <c r="E505">
        <v>2354</v>
      </c>
      <c r="F505" t="s">
        <v>153</v>
      </c>
      <c r="G505">
        <v>235</v>
      </c>
      <c r="H505">
        <v>43763</v>
      </c>
      <c r="I505">
        <v>43763</v>
      </c>
      <c r="J505">
        <v>43815</v>
      </c>
      <c r="K505" t="s">
        <v>311</v>
      </c>
    </row>
    <row r="506" spans="1:12" x14ac:dyDescent="0.35">
      <c r="A506" t="s">
        <v>266</v>
      </c>
      <c r="B506" t="s">
        <v>299</v>
      </c>
      <c r="C506" t="s">
        <v>246</v>
      </c>
      <c r="D506" t="s">
        <v>155</v>
      </c>
      <c r="E506">
        <v>9532</v>
      </c>
      <c r="F506" t="s">
        <v>153</v>
      </c>
      <c r="G506">
        <v>953</v>
      </c>
      <c r="H506">
        <v>43763</v>
      </c>
      <c r="L506">
        <v>43910</v>
      </c>
    </row>
    <row r="507" spans="1:12" x14ac:dyDescent="0.35">
      <c r="A507" t="s">
        <v>287</v>
      </c>
      <c r="B507" t="s">
        <v>295</v>
      </c>
      <c r="C507" t="s">
        <v>290</v>
      </c>
      <c r="D507" t="s">
        <v>155</v>
      </c>
      <c r="E507">
        <v>404</v>
      </c>
      <c r="F507">
        <v>25.316162533378382</v>
      </c>
      <c r="G507">
        <v>12.658081266689191</v>
      </c>
      <c r="H507">
        <v>43776</v>
      </c>
    </row>
    <row r="508" spans="1:12" x14ac:dyDescent="0.35">
      <c r="A508" t="s">
        <v>266</v>
      </c>
      <c r="B508" t="s">
        <v>295</v>
      </c>
      <c r="C508" t="s">
        <v>290</v>
      </c>
      <c r="D508" t="s">
        <v>155</v>
      </c>
      <c r="E508">
        <v>3685</v>
      </c>
      <c r="F508">
        <v>230.91598746410727</v>
      </c>
      <c r="G508">
        <v>92.366394985642927</v>
      </c>
      <c r="H508">
        <v>43776</v>
      </c>
      <c r="L508">
        <v>43910</v>
      </c>
    </row>
    <row r="509" spans="1:12" x14ac:dyDescent="0.35">
      <c r="A509" t="s">
        <v>266</v>
      </c>
      <c r="B509" t="s">
        <v>299</v>
      </c>
      <c r="C509" t="s">
        <v>173</v>
      </c>
      <c r="D509" t="s">
        <v>243</v>
      </c>
      <c r="E509">
        <v>43</v>
      </c>
      <c r="F509">
        <v>9</v>
      </c>
      <c r="G509">
        <v>4</v>
      </c>
      <c r="H509">
        <v>43777</v>
      </c>
      <c r="I509">
        <v>43777</v>
      </c>
      <c r="L509">
        <v>43910</v>
      </c>
    </row>
    <row r="510" spans="1:12" x14ac:dyDescent="0.35">
      <c r="A510" t="s">
        <v>219</v>
      </c>
      <c r="B510" t="s">
        <v>312</v>
      </c>
      <c r="C510" t="s">
        <v>250</v>
      </c>
      <c r="D510" t="s">
        <v>155</v>
      </c>
      <c r="E510">
        <v>5</v>
      </c>
      <c r="F510">
        <v>0.62239301204681396</v>
      </c>
      <c r="G510">
        <v>0.31119650602340698</v>
      </c>
      <c r="H510">
        <v>43781</v>
      </c>
      <c r="I510">
        <v>43781</v>
      </c>
      <c r="J510">
        <v>43815</v>
      </c>
      <c r="K510" t="s">
        <v>310</v>
      </c>
      <c r="L510">
        <v>43862</v>
      </c>
    </row>
    <row r="511" spans="1:12" x14ac:dyDescent="0.35">
      <c r="A511" t="s">
        <v>287</v>
      </c>
      <c r="B511" t="s">
        <v>312</v>
      </c>
      <c r="C511" t="s">
        <v>250</v>
      </c>
      <c r="D511" t="s">
        <v>155</v>
      </c>
      <c r="E511">
        <v>258</v>
      </c>
      <c r="F511">
        <v>32.115477681159959</v>
      </c>
      <c r="G511">
        <v>16.057738840579979</v>
      </c>
      <c r="H511">
        <v>43781</v>
      </c>
    </row>
    <row r="512" spans="1:12" x14ac:dyDescent="0.35">
      <c r="A512" t="s">
        <v>193</v>
      </c>
      <c r="B512" t="s">
        <v>312</v>
      </c>
      <c r="C512" t="s">
        <v>250</v>
      </c>
      <c r="D512" t="s">
        <v>155</v>
      </c>
      <c r="E512">
        <v>7</v>
      </c>
      <c r="F512">
        <v>0.87135010957717896</v>
      </c>
      <c r="G512">
        <v>0.43567505478858948</v>
      </c>
      <c r="H512">
        <v>43781</v>
      </c>
    </row>
    <row r="513" spans="1:12" x14ac:dyDescent="0.35">
      <c r="A513" t="s">
        <v>266</v>
      </c>
      <c r="B513" t="s">
        <v>312</v>
      </c>
      <c r="C513" t="s">
        <v>250</v>
      </c>
      <c r="D513" t="s">
        <v>155</v>
      </c>
      <c r="E513">
        <v>115</v>
      </c>
      <c r="F513">
        <v>14.315038084983801</v>
      </c>
      <c r="G513">
        <v>5.72601523399352</v>
      </c>
      <c r="H513">
        <v>43781</v>
      </c>
      <c r="L513">
        <v>43910</v>
      </c>
    </row>
    <row r="514" spans="1:12" x14ac:dyDescent="0.35">
      <c r="A514" t="s">
        <v>219</v>
      </c>
      <c r="B514" t="s">
        <v>299</v>
      </c>
      <c r="C514" t="s">
        <v>302</v>
      </c>
      <c r="D514" t="s">
        <v>155</v>
      </c>
      <c r="E514">
        <v>2518</v>
      </c>
      <c r="F514">
        <v>4700.273630392956</v>
      </c>
      <c r="G514">
        <v>2350.136815196478</v>
      </c>
      <c r="H514">
        <v>43782</v>
      </c>
      <c r="I514">
        <v>43789</v>
      </c>
      <c r="J514">
        <v>43815</v>
      </c>
      <c r="K514" t="s">
        <v>310</v>
      </c>
      <c r="L514">
        <v>43862</v>
      </c>
    </row>
    <row r="515" spans="1:12" x14ac:dyDescent="0.35">
      <c r="A515" t="s">
        <v>303</v>
      </c>
      <c r="B515" t="s">
        <v>299</v>
      </c>
      <c r="C515" t="s">
        <v>302</v>
      </c>
      <c r="D515" t="s">
        <v>155</v>
      </c>
      <c r="E515">
        <v>107047</v>
      </c>
      <c r="F515">
        <v>244067.24957154493</v>
      </c>
      <c r="G515" t="s">
        <v>153</v>
      </c>
      <c r="H515">
        <v>43782</v>
      </c>
      <c r="I515">
        <v>43789</v>
      </c>
    </row>
    <row r="516" spans="1:12" x14ac:dyDescent="0.35">
      <c r="A516" t="s">
        <v>211</v>
      </c>
      <c r="B516" t="s">
        <v>299</v>
      </c>
      <c r="C516" t="s">
        <v>302</v>
      </c>
      <c r="D516" t="s">
        <v>155</v>
      </c>
      <c r="E516">
        <v>52</v>
      </c>
      <c r="F516">
        <v>62.952665911606189</v>
      </c>
      <c r="G516">
        <v>31.476332955803095</v>
      </c>
      <c r="H516">
        <v>43782</v>
      </c>
      <c r="I516">
        <v>43789</v>
      </c>
      <c r="J516">
        <v>43815</v>
      </c>
      <c r="K516" t="s">
        <v>310</v>
      </c>
      <c r="L516">
        <v>43817</v>
      </c>
    </row>
    <row r="517" spans="1:12" x14ac:dyDescent="0.35">
      <c r="A517" t="s">
        <v>152</v>
      </c>
      <c r="B517" t="s">
        <v>299</v>
      </c>
      <c r="C517" t="s">
        <v>302</v>
      </c>
      <c r="D517" t="s">
        <v>155</v>
      </c>
      <c r="E517">
        <v>6138</v>
      </c>
      <c r="F517">
        <v>15592.721475039138</v>
      </c>
      <c r="G517" t="s">
        <v>153</v>
      </c>
      <c r="H517">
        <v>43782</v>
      </c>
      <c r="I517">
        <v>43789</v>
      </c>
    </row>
    <row r="518" spans="1:12" x14ac:dyDescent="0.35">
      <c r="A518" t="s">
        <v>265</v>
      </c>
      <c r="B518" t="s">
        <v>299</v>
      </c>
      <c r="C518" t="s">
        <v>302</v>
      </c>
      <c r="D518" t="s">
        <v>155</v>
      </c>
      <c r="E518">
        <v>2</v>
      </c>
      <c r="F518">
        <v>0.17165277096615988</v>
      </c>
      <c r="G518">
        <v>8.5826385483079942E-2</v>
      </c>
      <c r="H518">
        <v>43782</v>
      </c>
      <c r="I518">
        <v>43789</v>
      </c>
    </row>
    <row r="519" spans="1:12" x14ac:dyDescent="0.35">
      <c r="A519" t="s">
        <v>313</v>
      </c>
      <c r="B519" t="s">
        <v>299</v>
      </c>
      <c r="C519" t="s">
        <v>302</v>
      </c>
      <c r="D519" t="s">
        <v>155</v>
      </c>
      <c r="E519">
        <v>463</v>
      </c>
      <c r="F519">
        <v>731.13177615326265</v>
      </c>
      <c r="G519">
        <v>365.56588807663132</v>
      </c>
      <c r="H519">
        <v>43782</v>
      </c>
      <c r="I519">
        <v>43789</v>
      </c>
    </row>
    <row r="520" spans="1:12" x14ac:dyDescent="0.35">
      <c r="A520" t="s">
        <v>210</v>
      </c>
      <c r="B520" t="s">
        <v>299</v>
      </c>
      <c r="C520" t="s">
        <v>302</v>
      </c>
      <c r="D520" t="s">
        <v>155</v>
      </c>
      <c r="E520">
        <v>414</v>
      </c>
      <c r="F520">
        <v>662.74787759601031</v>
      </c>
      <c r="G520">
        <v>198.82436327880308</v>
      </c>
      <c r="H520">
        <v>43782</v>
      </c>
      <c r="I520">
        <v>43789</v>
      </c>
    </row>
    <row r="521" spans="1:12" x14ac:dyDescent="0.35">
      <c r="A521" t="s">
        <v>314</v>
      </c>
      <c r="B521" t="s">
        <v>299</v>
      </c>
      <c r="C521" t="s">
        <v>302</v>
      </c>
      <c r="D521" t="s">
        <v>155</v>
      </c>
      <c r="E521">
        <v>10917</v>
      </c>
      <c r="F521">
        <v>34470.77435717934</v>
      </c>
      <c r="G521">
        <v>10341.232307153803</v>
      </c>
      <c r="H521">
        <v>43782</v>
      </c>
      <c r="I521">
        <v>43789</v>
      </c>
      <c r="J521">
        <v>43815</v>
      </c>
      <c r="K521" t="s">
        <v>310</v>
      </c>
      <c r="L521">
        <v>43872</v>
      </c>
    </row>
    <row r="522" spans="1:12" x14ac:dyDescent="0.35">
      <c r="A522" t="s">
        <v>30</v>
      </c>
      <c r="B522" t="s">
        <v>299</v>
      </c>
      <c r="C522" t="s">
        <v>302</v>
      </c>
      <c r="D522" t="s">
        <v>155</v>
      </c>
      <c r="E522">
        <v>5426</v>
      </c>
      <c r="F522">
        <v>18508.330541006133</v>
      </c>
      <c r="G522">
        <v>9254.1652705030665</v>
      </c>
      <c r="H522">
        <v>43782</v>
      </c>
      <c r="I522">
        <v>43789</v>
      </c>
    </row>
    <row r="523" spans="1:12" x14ac:dyDescent="0.35">
      <c r="A523" t="s">
        <v>212</v>
      </c>
      <c r="B523" t="s">
        <v>299</v>
      </c>
      <c r="C523" t="s">
        <v>302</v>
      </c>
      <c r="D523" t="s">
        <v>155</v>
      </c>
      <c r="E523">
        <v>14576</v>
      </c>
      <c r="F523">
        <v>28336.321526268235</v>
      </c>
      <c r="G523">
        <v>14168.160763134118</v>
      </c>
      <c r="H523">
        <v>43782</v>
      </c>
      <c r="I523">
        <v>43789</v>
      </c>
    </row>
    <row r="524" spans="1:12" x14ac:dyDescent="0.35">
      <c r="A524" t="s">
        <v>78</v>
      </c>
      <c r="B524" t="s">
        <v>299</v>
      </c>
      <c r="C524" t="s">
        <v>302</v>
      </c>
      <c r="D524" t="s">
        <v>155</v>
      </c>
      <c r="E524">
        <v>700</v>
      </c>
      <c r="F524">
        <v>2788.2657650852625</v>
      </c>
      <c r="G524">
        <v>1394.1328825426313</v>
      </c>
      <c r="H524">
        <v>43782</v>
      </c>
      <c r="I524">
        <v>43789</v>
      </c>
    </row>
    <row r="525" spans="1:12" x14ac:dyDescent="0.35">
      <c r="A525" t="s">
        <v>288</v>
      </c>
      <c r="B525" t="s">
        <v>299</v>
      </c>
      <c r="C525" t="s">
        <v>302</v>
      </c>
      <c r="D525" t="s">
        <v>155</v>
      </c>
      <c r="E525">
        <v>1</v>
      </c>
      <c r="F525">
        <v>0.40538161187811311</v>
      </c>
      <c r="G525">
        <v>0.20269080593905656</v>
      </c>
      <c r="H525">
        <v>43782</v>
      </c>
      <c r="I525">
        <v>43789</v>
      </c>
    </row>
    <row r="526" spans="1:12" x14ac:dyDescent="0.35">
      <c r="A526" t="s">
        <v>256</v>
      </c>
      <c r="B526" t="s">
        <v>299</v>
      </c>
      <c r="C526" t="s">
        <v>302</v>
      </c>
      <c r="D526" t="s">
        <v>155</v>
      </c>
      <c r="E526">
        <v>402</v>
      </c>
      <c r="F526">
        <v>273.10263398012995</v>
      </c>
      <c r="G526" t="s">
        <v>153</v>
      </c>
      <c r="H526">
        <v>43782</v>
      </c>
      <c r="I526">
        <v>43789</v>
      </c>
    </row>
    <row r="527" spans="1:12" x14ac:dyDescent="0.35">
      <c r="A527" t="s">
        <v>213</v>
      </c>
      <c r="B527" t="s">
        <v>299</v>
      </c>
      <c r="C527" t="s">
        <v>302</v>
      </c>
      <c r="D527" t="s">
        <v>155</v>
      </c>
      <c r="E527">
        <v>176</v>
      </c>
      <c r="F527">
        <v>260.53340725192913</v>
      </c>
      <c r="G527">
        <v>78.160022175578732</v>
      </c>
      <c r="H527">
        <v>43782</v>
      </c>
      <c r="I527">
        <v>43789</v>
      </c>
      <c r="L527">
        <v>43989</v>
      </c>
    </row>
    <row r="528" spans="1:12" x14ac:dyDescent="0.35">
      <c r="A528" t="s">
        <v>160</v>
      </c>
      <c r="B528" t="s">
        <v>299</v>
      </c>
      <c r="C528" t="s">
        <v>302</v>
      </c>
      <c r="D528" t="s">
        <v>155</v>
      </c>
      <c r="E528">
        <v>1</v>
      </c>
      <c r="F528">
        <v>1.948371616842415</v>
      </c>
      <c r="G528" t="s">
        <v>153</v>
      </c>
      <c r="H528">
        <v>43782</v>
      </c>
      <c r="I528">
        <v>43789</v>
      </c>
    </row>
    <row r="529" spans="1:12" x14ac:dyDescent="0.35">
      <c r="A529" t="s">
        <v>120</v>
      </c>
      <c r="B529" t="s">
        <v>299</v>
      </c>
      <c r="C529" t="s">
        <v>302</v>
      </c>
      <c r="D529" t="s">
        <v>155</v>
      </c>
      <c r="E529">
        <v>106443</v>
      </c>
      <c r="F529">
        <v>174542.09024786021</v>
      </c>
      <c r="G529" t="s">
        <v>153</v>
      </c>
      <c r="H529">
        <v>43782</v>
      </c>
      <c r="I529">
        <v>43789</v>
      </c>
    </row>
    <row r="530" spans="1:12" x14ac:dyDescent="0.35">
      <c r="A530" t="s">
        <v>190</v>
      </c>
      <c r="B530" t="s">
        <v>299</v>
      </c>
      <c r="C530" t="s">
        <v>302</v>
      </c>
      <c r="D530" t="s">
        <v>155</v>
      </c>
      <c r="E530">
        <v>3139</v>
      </c>
      <c r="F530">
        <v>5551.4948053085509</v>
      </c>
      <c r="G530">
        <v>2775.7474026542754</v>
      </c>
      <c r="H530">
        <v>43782</v>
      </c>
      <c r="I530">
        <v>43789</v>
      </c>
      <c r="K530" t="s">
        <v>310</v>
      </c>
      <c r="L530">
        <v>44201</v>
      </c>
    </row>
    <row r="531" spans="1:12" x14ac:dyDescent="0.35">
      <c r="A531" t="s">
        <v>162</v>
      </c>
      <c r="B531" t="s">
        <v>299</v>
      </c>
      <c r="C531" t="s">
        <v>302</v>
      </c>
      <c r="D531" t="s">
        <v>155</v>
      </c>
      <c r="E531">
        <v>565</v>
      </c>
      <c r="F531">
        <v>801.455999020793</v>
      </c>
      <c r="G531">
        <v>480.87359941247576</v>
      </c>
      <c r="H531">
        <v>43782</v>
      </c>
      <c r="I531">
        <v>43789</v>
      </c>
      <c r="J531">
        <v>43815</v>
      </c>
      <c r="K531" t="s">
        <v>310</v>
      </c>
      <c r="L531">
        <v>43989</v>
      </c>
    </row>
    <row r="532" spans="1:12" x14ac:dyDescent="0.35">
      <c r="A532" t="s">
        <v>257</v>
      </c>
      <c r="B532" t="s">
        <v>299</v>
      </c>
      <c r="C532" t="s">
        <v>302</v>
      </c>
      <c r="D532" t="s">
        <v>155</v>
      </c>
      <c r="E532">
        <v>7341</v>
      </c>
      <c r="F532">
        <v>559.39616324539338</v>
      </c>
      <c r="G532" t="s">
        <v>153</v>
      </c>
      <c r="H532">
        <v>43782</v>
      </c>
      <c r="I532">
        <v>43789</v>
      </c>
    </row>
    <row r="533" spans="1:12" x14ac:dyDescent="0.35">
      <c r="A533" t="s">
        <v>283</v>
      </c>
      <c r="B533" t="s">
        <v>299</v>
      </c>
      <c r="C533" t="s">
        <v>302</v>
      </c>
      <c r="D533" t="s">
        <v>155</v>
      </c>
      <c r="E533">
        <v>90</v>
      </c>
      <c r="F533">
        <v>201.75304961919846</v>
      </c>
      <c r="G533">
        <v>100.87652480959923</v>
      </c>
      <c r="H533">
        <v>43782</v>
      </c>
      <c r="I533">
        <v>43789</v>
      </c>
      <c r="L533">
        <v>43872</v>
      </c>
    </row>
    <row r="534" spans="1:12" x14ac:dyDescent="0.35">
      <c r="A534" t="s">
        <v>306</v>
      </c>
      <c r="B534" t="s">
        <v>299</v>
      </c>
      <c r="C534" t="s">
        <v>302</v>
      </c>
      <c r="D534" t="s">
        <v>155</v>
      </c>
      <c r="E534">
        <v>228</v>
      </c>
      <c r="F534">
        <v>366</v>
      </c>
      <c r="G534" t="s">
        <v>153</v>
      </c>
      <c r="H534">
        <v>43782</v>
      </c>
      <c r="I534">
        <v>43789</v>
      </c>
      <c r="L534">
        <v>43872</v>
      </c>
    </row>
    <row r="535" spans="1:12" x14ac:dyDescent="0.35">
      <c r="A535" t="s">
        <v>151</v>
      </c>
      <c r="B535" t="s">
        <v>299</v>
      </c>
      <c r="C535" t="s">
        <v>302</v>
      </c>
      <c r="D535" t="s">
        <v>155</v>
      </c>
      <c r="E535">
        <v>293996</v>
      </c>
      <c r="F535">
        <v>566209.98307416926</v>
      </c>
      <c r="G535">
        <v>339725.98984450154</v>
      </c>
      <c r="H535">
        <v>43782</v>
      </c>
      <c r="I535">
        <v>43789</v>
      </c>
    </row>
    <row r="536" spans="1:12" x14ac:dyDescent="0.35">
      <c r="A536" t="s">
        <v>193</v>
      </c>
      <c r="B536" t="s">
        <v>299</v>
      </c>
      <c r="C536" t="s">
        <v>302</v>
      </c>
      <c r="D536" t="s">
        <v>155</v>
      </c>
      <c r="E536">
        <v>6901</v>
      </c>
      <c r="F536">
        <v>11343.622638169501</v>
      </c>
      <c r="G536">
        <v>5671.8113190847507</v>
      </c>
      <c r="H536">
        <v>43782</v>
      </c>
      <c r="I536">
        <v>43789</v>
      </c>
      <c r="J536">
        <v>43815</v>
      </c>
      <c r="K536" t="s">
        <v>311</v>
      </c>
    </row>
    <row r="537" spans="1:12" x14ac:dyDescent="0.35">
      <c r="A537" t="s">
        <v>215</v>
      </c>
      <c r="B537" t="s">
        <v>299</v>
      </c>
      <c r="C537" t="s">
        <v>302</v>
      </c>
      <c r="D537" t="s">
        <v>155</v>
      </c>
      <c r="E537">
        <v>14</v>
      </c>
      <c r="F537">
        <v>2.7485116664247324</v>
      </c>
      <c r="G537">
        <v>1.3742558332123662</v>
      </c>
      <c r="H537">
        <v>43782</v>
      </c>
      <c r="I537">
        <v>43789</v>
      </c>
    </row>
    <row r="538" spans="1:12" x14ac:dyDescent="0.35">
      <c r="A538" t="s">
        <v>266</v>
      </c>
      <c r="B538" t="s">
        <v>299</v>
      </c>
      <c r="C538" t="s">
        <v>302</v>
      </c>
      <c r="D538" t="s">
        <v>155</v>
      </c>
      <c r="E538">
        <v>65</v>
      </c>
      <c r="F538">
        <v>249.98723908809572</v>
      </c>
      <c r="G538">
        <v>99.994895635238294</v>
      </c>
      <c r="H538">
        <v>43782</v>
      </c>
      <c r="I538">
        <v>43789</v>
      </c>
      <c r="L538">
        <v>43910</v>
      </c>
    </row>
    <row r="539" spans="1:12" x14ac:dyDescent="0.35">
      <c r="A539" t="s">
        <v>267</v>
      </c>
      <c r="B539" t="s">
        <v>299</v>
      </c>
      <c r="C539" t="s">
        <v>302</v>
      </c>
      <c r="D539" t="s">
        <v>155</v>
      </c>
      <c r="E539">
        <v>43790</v>
      </c>
      <c r="F539">
        <v>114596.75226243118</v>
      </c>
      <c r="G539" t="s">
        <v>153</v>
      </c>
      <c r="H539">
        <v>43782</v>
      </c>
      <c r="I539">
        <v>43789</v>
      </c>
    </row>
    <row r="540" spans="1:12" x14ac:dyDescent="0.35">
      <c r="A540" t="s">
        <v>183</v>
      </c>
      <c r="B540" t="s">
        <v>299</v>
      </c>
      <c r="C540" t="s">
        <v>302</v>
      </c>
      <c r="D540" t="s">
        <v>155</v>
      </c>
      <c r="E540">
        <v>369441</v>
      </c>
      <c r="F540">
        <v>957351.5709777989</v>
      </c>
      <c r="G540" t="s">
        <v>153</v>
      </c>
      <c r="H540">
        <v>43782</v>
      </c>
      <c r="I540">
        <v>43789</v>
      </c>
    </row>
    <row r="541" spans="1:12" x14ac:dyDescent="0.35">
      <c r="A541" t="s">
        <v>186</v>
      </c>
      <c r="B541" t="s">
        <v>299</v>
      </c>
      <c r="C541" t="s">
        <v>302</v>
      </c>
      <c r="D541" t="s">
        <v>155</v>
      </c>
      <c r="E541">
        <v>557</v>
      </c>
      <c r="F541">
        <v>1019.3084710001015</v>
      </c>
      <c r="G541">
        <v>509.65423550005073</v>
      </c>
      <c r="H541">
        <v>43782</v>
      </c>
      <c r="I541">
        <v>43789</v>
      </c>
    </row>
    <row r="542" spans="1:12" x14ac:dyDescent="0.35">
      <c r="A542" t="s">
        <v>315</v>
      </c>
      <c r="B542" t="s">
        <v>299</v>
      </c>
      <c r="C542" t="s">
        <v>302</v>
      </c>
      <c r="D542" t="s">
        <v>155</v>
      </c>
      <c r="E542">
        <v>172036</v>
      </c>
      <c r="F542">
        <v>595842.99238973681</v>
      </c>
      <c r="G542" t="s">
        <v>153</v>
      </c>
      <c r="H542">
        <v>43782</v>
      </c>
      <c r="I542">
        <v>43789</v>
      </c>
    </row>
    <row r="543" spans="1:12" x14ac:dyDescent="0.35">
      <c r="A543" t="s">
        <v>268</v>
      </c>
      <c r="B543" t="s">
        <v>299</v>
      </c>
      <c r="C543" t="s">
        <v>302</v>
      </c>
      <c r="D543" t="s">
        <v>155</v>
      </c>
      <c r="E543">
        <v>501</v>
      </c>
      <c r="F543">
        <v>1067.3223236519775</v>
      </c>
      <c r="G543">
        <v>426.92892946079098</v>
      </c>
      <c r="H543">
        <v>43782</v>
      </c>
      <c r="I543">
        <v>43789</v>
      </c>
      <c r="J543">
        <v>43815</v>
      </c>
      <c r="K543" t="s">
        <v>316</v>
      </c>
      <c r="L543">
        <v>43910</v>
      </c>
    </row>
    <row r="544" spans="1:12" x14ac:dyDescent="0.35">
      <c r="A544" t="s">
        <v>258</v>
      </c>
      <c r="B544" t="s">
        <v>299</v>
      </c>
      <c r="C544" t="s">
        <v>302</v>
      </c>
      <c r="D544" t="s">
        <v>155</v>
      </c>
      <c r="E544">
        <v>370</v>
      </c>
      <c r="F544">
        <v>192.19727555601949</v>
      </c>
      <c r="G544" t="s">
        <v>153</v>
      </c>
      <c r="H544">
        <v>43782</v>
      </c>
      <c r="I544">
        <v>43789</v>
      </c>
    </row>
    <row r="545" spans="1:12" x14ac:dyDescent="0.35">
      <c r="A545" t="s">
        <v>314</v>
      </c>
      <c r="B545" t="s">
        <v>301</v>
      </c>
      <c r="C545" t="s">
        <v>302</v>
      </c>
      <c r="D545" t="s">
        <v>155</v>
      </c>
      <c r="E545">
        <v>22192</v>
      </c>
      <c r="F545">
        <v>67381.154813606263</v>
      </c>
      <c r="G545">
        <v>20214.346444081879</v>
      </c>
      <c r="H545">
        <v>43788</v>
      </c>
      <c r="I545">
        <v>43788</v>
      </c>
      <c r="J545">
        <v>43815</v>
      </c>
      <c r="K545" t="s">
        <v>310</v>
      </c>
      <c r="L545">
        <v>43872</v>
      </c>
    </row>
    <row r="546" spans="1:12" x14ac:dyDescent="0.35">
      <c r="A546" t="s">
        <v>219</v>
      </c>
      <c r="B546" t="s">
        <v>312</v>
      </c>
      <c r="C546" t="s">
        <v>236</v>
      </c>
      <c r="D546" t="s">
        <v>155</v>
      </c>
      <c r="E546">
        <v>22</v>
      </c>
      <c r="F546">
        <v>1.1499999999999999</v>
      </c>
      <c r="G546">
        <v>0.57999999999999996</v>
      </c>
      <c r="H546">
        <v>43808</v>
      </c>
      <c r="I546">
        <v>43808</v>
      </c>
      <c r="J546">
        <v>43861</v>
      </c>
      <c r="K546" t="s">
        <v>317</v>
      </c>
      <c r="L546">
        <v>43862</v>
      </c>
    </row>
    <row r="547" spans="1:12" x14ac:dyDescent="0.35">
      <c r="A547" t="s">
        <v>223</v>
      </c>
      <c r="B547" t="s">
        <v>312</v>
      </c>
      <c r="C547" t="s">
        <v>236</v>
      </c>
      <c r="D547" t="s">
        <v>155</v>
      </c>
      <c r="F547">
        <v>1.1499999999999999</v>
      </c>
      <c r="G547">
        <v>0.57999999999999996</v>
      </c>
      <c r="H547">
        <v>43808</v>
      </c>
      <c r="I547">
        <v>43808</v>
      </c>
    </row>
    <row r="548" spans="1:12" x14ac:dyDescent="0.35">
      <c r="A548" t="s">
        <v>287</v>
      </c>
      <c r="B548" t="s">
        <v>312</v>
      </c>
      <c r="C548" t="s">
        <v>236</v>
      </c>
      <c r="D548" t="s">
        <v>155</v>
      </c>
      <c r="E548">
        <v>135</v>
      </c>
      <c r="F548">
        <v>7</v>
      </c>
      <c r="G548">
        <v>3</v>
      </c>
      <c r="H548">
        <v>43808</v>
      </c>
      <c r="I548">
        <v>43808</v>
      </c>
    </row>
    <row r="549" spans="1:12" x14ac:dyDescent="0.35">
      <c r="A549" t="s">
        <v>230</v>
      </c>
      <c r="B549" t="s">
        <v>312</v>
      </c>
      <c r="C549" t="s">
        <v>236</v>
      </c>
      <c r="D549" t="s">
        <v>155</v>
      </c>
      <c r="E549">
        <v>1</v>
      </c>
      <c r="F549">
        <v>0</v>
      </c>
      <c r="G549">
        <v>0</v>
      </c>
      <c r="H549">
        <v>43808</v>
      </c>
      <c r="I549">
        <v>43808</v>
      </c>
    </row>
    <row r="550" spans="1:12" x14ac:dyDescent="0.35">
      <c r="A550" t="s">
        <v>288</v>
      </c>
      <c r="B550" t="s">
        <v>312</v>
      </c>
      <c r="C550" t="s">
        <v>236</v>
      </c>
      <c r="D550" t="s">
        <v>155</v>
      </c>
      <c r="E550">
        <v>2</v>
      </c>
      <c r="F550">
        <v>0</v>
      </c>
      <c r="G550">
        <v>0</v>
      </c>
      <c r="H550">
        <v>43808</v>
      </c>
      <c r="I550">
        <v>43808</v>
      </c>
    </row>
    <row r="551" spans="1:12" x14ac:dyDescent="0.35">
      <c r="A551" t="s">
        <v>193</v>
      </c>
      <c r="B551" t="s">
        <v>312</v>
      </c>
      <c r="C551" t="s">
        <v>236</v>
      </c>
      <c r="D551" t="s">
        <v>155</v>
      </c>
      <c r="E551">
        <v>605</v>
      </c>
      <c r="F551">
        <v>32.112904653743556</v>
      </c>
      <c r="G551">
        <v>16.056452326871778</v>
      </c>
      <c r="H551">
        <v>43808</v>
      </c>
      <c r="I551">
        <v>43808</v>
      </c>
      <c r="J551">
        <v>43861</v>
      </c>
      <c r="K551" t="s">
        <v>318</v>
      </c>
    </row>
    <row r="552" spans="1:12" x14ac:dyDescent="0.35">
      <c r="A552" t="s">
        <v>266</v>
      </c>
      <c r="B552" t="s">
        <v>312</v>
      </c>
      <c r="C552" t="s">
        <v>236</v>
      </c>
      <c r="D552" t="s">
        <v>155</v>
      </c>
      <c r="E552">
        <v>21</v>
      </c>
      <c r="F552">
        <v>1.0050729522208091</v>
      </c>
      <c r="G552">
        <v>0.40202918088832362</v>
      </c>
      <c r="H552">
        <v>43808</v>
      </c>
      <c r="I552">
        <v>43808</v>
      </c>
      <c r="L552">
        <v>43910</v>
      </c>
    </row>
    <row r="553" spans="1:12" x14ac:dyDescent="0.35">
      <c r="A553" t="s">
        <v>219</v>
      </c>
      <c r="B553" t="s">
        <v>319</v>
      </c>
      <c r="C553" t="s">
        <v>250</v>
      </c>
      <c r="D553" t="s">
        <v>155</v>
      </c>
      <c r="E553">
        <v>25</v>
      </c>
      <c r="F553">
        <v>3</v>
      </c>
      <c r="G553">
        <v>1</v>
      </c>
      <c r="H553">
        <v>43810</v>
      </c>
      <c r="I553">
        <v>43810</v>
      </c>
      <c r="J553">
        <v>43861</v>
      </c>
      <c r="K553" t="s">
        <v>317</v>
      </c>
      <c r="L553">
        <v>43862</v>
      </c>
    </row>
    <row r="554" spans="1:12" x14ac:dyDescent="0.35">
      <c r="A554" t="s">
        <v>287</v>
      </c>
      <c r="B554" t="s">
        <v>319</v>
      </c>
      <c r="C554" t="s">
        <v>250</v>
      </c>
      <c r="D554" t="s">
        <v>155</v>
      </c>
      <c r="E554">
        <v>319</v>
      </c>
      <c r="F554">
        <v>37.911578893661556</v>
      </c>
      <c r="G554">
        <v>18.955789446830778</v>
      </c>
      <c r="H554">
        <v>43810</v>
      </c>
      <c r="I554">
        <v>43810</v>
      </c>
    </row>
    <row r="555" spans="1:12" x14ac:dyDescent="0.35">
      <c r="A555" t="s">
        <v>230</v>
      </c>
      <c r="B555" t="s">
        <v>319</v>
      </c>
      <c r="C555" t="s">
        <v>250</v>
      </c>
      <c r="D555" t="s">
        <v>155</v>
      </c>
      <c r="E555">
        <v>15</v>
      </c>
      <c r="F555">
        <v>2</v>
      </c>
      <c r="G555">
        <v>1</v>
      </c>
      <c r="H555">
        <v>43810</v>
      </c>
      <c r="I555">
        <v>43810</v>
      </c>
    </row>
    <row r="556" spans="1:12" x14ac:dyDescent="0.35">
      <c r="A556" t="s">
        <v>288</v>
      </c>
      <c r="B556" t="s">
        <v>319</v>
      </c>
      <c r="C556" t="s">
        <v>250</v>
      </c>
      <c r="D556" t="s">
        <v>155</v>
      </c>
      <c r="E556">
        <v>7</v>
      </c>
      <c r="F556">
        <v>1</v>
      </c>
      <c r="G556">
        <v>0</v>
      </c>
      <c r="H556">
        <v>43810</v>
      </c>
      <c r="I556">
        <v>43810</v>
      </c>
    </row>
    <row r="557" spans="1:12" x14ac:dyDescent="0.35">
      <c r="A557" t="s">
        <v>193</v>
      </c>
      <c r="B557" t="s">
        <v>319</v>
      </c>
      <c r="C557" t="s">
        <v>250</v>
      </c>
      <c r="D557" t="s">
        <v>155</v>
      </c>
      <c r="E557">
        <v>5</v>
      </c>
      <c r="F557">
        <v>1</v>
      </c>
      <c r="G557">
        <v>0</v>
      </c>
      <c r="H557">
        <v>43810</v>
      </c>
      <c r="I557">
        <v>43810</v>
      </c>
      <c r="J557">
        <v>43861</v>
      </c>
      <c r="K557" t="s">
        <v>318</v>
      </c>
    </row>
    <row r="558" spans="1:12" x14ac:dyDescent="0.35">
      <c r="A558" t="s">
        <v>266</v>
      </c>
      <c r="B558" t="s">
        <v>319</v>
      </c>
      <c r="C558" t="s">
        <v>250</v>
      </c>
      <c r="D558" t="s">
        <v>155</v>
      </c>
      <c r="E558">
        <v>213</v>
      </c>
      <c r="F558">
        <v>25</v>
      </c>
      <c r="G558">
        <v>10</v>
      </c>
      <c r="H558">
        <v>43810</v>
      </c>
      <c r="I558">
        <v>43810</v>
      </c>
      <c r="L558">
        <v>43910</v>
      </c>
    </row>
    <row r="559" spans="1:12" x14ac:dyDescent="0.35">
      <c r="A559" t="s">
        <v>219</v>
      </c>
      <c r="B559" t="s">
        <v>319</v>
      </c>
      <c r="C559" t="s">
        <v>236</v>
      </c>
      <c r="D559" t="s">
        <v>155</v>
      </c>
      <c r="E559">
        <v>19</v>
      </c>
      <c r="F559">
        <v>0.85794915295666196</v>
      </c>
      <c r="G559">
        <v>0.42897457647833098</v>
      </c>
      <c r="H559">
        <v>43812</v>
      </c>
      <c r="I559">
        <v>43812</v>
      </c>
      <c r="J559">
        <v>43861</v>
      </c>
      <c r="K559" t="s">
        <v>317</v>
      </c>
      <c r="L559">
        <v>43862</v>
      </c>
    </row>
    <row r="560" spans="1:12" x14ac:dyDescent="0.35">
      <c r="A560" t="s">
        <v>223</v>
      </c>
      <c r="B560" t="s">
        <v>319</v>
      </c>
      <c r="C560" t="s">
        <v>236</v>
      </c>
      <c r="D560" t="s">
        <v>155</v>
      </c>
      <c r="E560">
        <v>38</v>
      </c>
      <c r="F560">
        <v>1.758092526550536</v>
      </c>
      <c r="G560">
        <v>0.87904626327526802</v>
      </c>
      <c r="H560">
        <v>43812</v>
      </c>
      <c r="I560">
        <v>43812</v>
      </c>
    </row>
    <row r="561" spans="1:12" x14ac:dyDescent="0.35">
      <c r="A561" t="s">
        <v>287</v>
      </c>
      <c r="B561" t="s">
        <v>319</v>
      </c>
      <c r="C561" t="s">
        <v>236</v>
      </c>
      <c r="D561" t="s">
        <v>155</v>
      </c>
      <c r="E561">
        <v>191</v>
      </c>
      <c r="F561">
        <v>8.9311100348767276</v>
      </c>
      <c r="G561">
        <v>4.4655550174383638</v>
      </c>
      <c r="H561">
        <v>43812</v>
      </c>
      <c r="I561">
        <v>43812</v>
      </c>
    </row>
    <row r="562" spans="1:12" x14ac:dyDescent="0.35">
      <c r="A562" t="s">
        <v>230</v>
      </c>
      <c r="B562" t="s">
        <v>319</v>
      </c>
      <c r="C562" t="s">
        <v>236</v>
      </c>
      <c r="D562" t="s">
        <v>155</v>
      </c>
      <c r="E562">
        <v>1</v>
      </c>
      <c r="F562">
        <v>2.8129480424808569E-2</v>
      </c>
      <c r="G562">
        <v>1.4064740212404284E-2</v>
      </c>
      <c r="H562">
        <v>43812</v>
      </c>
      <c r="I562">
        <v>43812</v>
      </c>
    </row>
    <row r="563" spans="1:12" x14ac:dyDescent="0.35">
      <c r="A563" t="s">
        <v>288</v>
      </c>
      <c r="B563" t="s">
        <v>319</v>
      </c>
      <c r="C563" t="s">
        <v>236</v>
      </c>
      <c r="D563" t="s">
        <v>155</v>
      </c>
      <c r="E563">
        <v>6</v>
      </c>
      <c r="F563">
        <v>0.28129480424808567</v>
      </c>
      <c r="G563">
        <v>0.14064740212404284</v>
      </c>
      <c r="H563">
        <v>43812</v>
      </c>
      <c r="I563">
        <v>43812</v>
      </c>
    </row>
    <row r="564" spans="1:12" x14ac:dyDescent="0.35">
      <c r="A564" t="s">
        <v>193</v>
      </c>
      <c r="B564" t="s">
        <v>319</v>
      </c>
      <c r="C564" t="s">
        <v>236</v>
      </c>
      <c r="D564" t="s">
        <v>155</v>
      </c>
      <c r="E564">
        <v>439</v>
      </c>
      <c r="F564">
        <v>20.548585450322673</v>
      </c>
      <c r="G564">
        <v>10.274292725161336</v>
      </c>
      <c r="H564">
        <v>43812</v>
      </c>
      <c r="I564">
        <v>43812</v>
      </c>
      <c r="J564">
        <v>43861</v>
      </c>
      <c r="K564" t="s">
        <v>318</v>
      </c>
    </row>
    <row r="565" spans="1:12" x14ac:dyDescent="0.35">
      <c r="A565" t="s">
        <v>266</v>
      </c>
      <c r="B565" t="s">
        <v>319</v>
      </c>
      <c r="C565" t="s">
        <v>236</v>
      </c>
      <c r="D565" t="s">
        <v>155</v>
      </c>
      <c r="E565">
        <v>12</v>
      </c>
      <c r="F565">
        <v>0.46413642700934155</v>
      </c>
      <c r="G565">
        <v>0.18565457080373662</v>
      </c>
      <c r="H565">
        <v>43812</v>
      </c>
      <c r="I565">
        <v>43812</v>
      </c>
      <c r="L565">
        <v>43910</v>
      </c>
    </row>
    <row r="566" spans="1:12" x14ac:dyDescent="0.35">
      <c r="A566" t="s">
        <v>287</v>
      </c>
      <c r="B566" t="s">
        <v>320</v>
      </c>
      <c r="C566" t="s">
        <v>290</v>
      </c>
      <c r="D566" t="s">
        <v>155</v>
      </c>
      <c r="E566">
        <v>994</v>
      </c>
      <c r="F566">
        <v>69.333924009287927</v>
      </c>
      <c r="G566">
        <v>34.666962004643963</v>
      </c>
      <c r="H566">
        <v>43815</v>
      </c>
      <c r="I566">
        <v>43815</v>
      </c>
    </row>
    <row r="567" spans="1:12" x14ac:dyDescent="0.35">
      <c r="A567" t="s">
        <v>230</v>
      </c>
      <c r="B567" t="s">
        <v>320</v>
      </c>
      <c r="C567" t="s">
        <v>290</v>
      </c>
      <c r="D567" t="s">
        <v>155</v>
      </c>
      <c r="E567">
        <v>33</v>
      </c>
      <c r="F567">
        <v>2.1827704493707349</v>
      </c>
      <c r="G567">
        <v>1.0913852246853675</v>
      </c>
      <c r="H567">
        <v>43815</v>
      </c>
      <c r="I567">
        <v>43815</v>
      </c>
    </row>
    <row r="568" spans="1:12" x14ac:dyDescent="0.35">
      <c r="A568" t="s">
        <v>266</v>
      </c>
      <c r="B568" t="s">
        <v>320</v>
      </c>
      <c r="C568" t="s">
        <v>290</v>
      </c>
      <c r="D568" t="s">
        <v>155</v>
      </c>
      <c r="E568">
        <v>6097</v>
      </c>
      <c r="F568">
        <v>497.82270605071409</v>
      </c>
      <c r="G568">
        <v>199.12908242028564</v>
      </c>
      <c r="H568">
        <v>43815</v>
      </c>
      <c r="I568">
        <v>43815</v>
      </c>
      <c r="L568">
        <v>43910</v>
      </c>
    </row>
    <row r="569" spans="1:12" x14ac:dyDescent="0.35">
      <c r="A569" t="s">
        <v>219</v>
      </c>
      <c r="B569" t="s">
        <v>321</v>
      </c>
      <c r="C569" t="s">
        <v>250</v>
      </c>
      <c r="D569" t="s">
        <v>155</v>
      </c>
      <c r="E569">
        <v>209</v>
      </c>
      <c r="F569">
        <v>21.809579182863231</v>
      </c>
      <c r="G569">
        <v>10.904789591431616</v>
      </c>
      <c r="H569">
        <v>43818</v>
      </c>
      <c r="I569">
        <v>43818</v>
      </c>
      <c r="J569">
        <v>43861</v>
      </c>
      <c r="K569" t="s">
        <v>317</v>
      </c>
      <c r="L569">
        <v>43862</v>
      </c>
    </row>
    <row r="570" spans="1:12" x14ac:dyDescent="0.35">
      <c r="A570" t="s">
        <v>287</v>
      </c>
      <c r="B570" t="s">
        <v>321</v>
      </c>
      <c r="C570" t="s">
        <v>250</v>
      </c>
      <c r="D570" t="s">
        <v>155</v>
      </c>
      <c r="E570">
        <v>133</v>
      </c>
      <c r="F570">
        <v>14</v>
      </c>
      <c r="G570">
        <v>7</v>
      </c>
      <c r="H570">
        <v>43818</v>
      </c>
      <c r="I570">
        <v>43818</v>
      </c>
    </row>
    <row r="571" spans="1:12" x14ac:dyDescent="0.35">
      <c r="A571" t="s">
        <v>230</v>
      </c>
      <c r="B571" t="s">
        <v>321</v>
      </c>
      <c r="C571" t="s">
        <v>250</v>
      </c>
      <c r="D571" t="s">
        <v>155</v>
      </c>
      <c r="E571">
        <v>5</v>
      </c>
      <c r="F571">
        <v>0</v>
      </c>
      <c r="G571">
        <v>0</v>
      </c>
      <c r="H571">
        <v>43818</v>
      </c>
      <c r="I571">
        <v>43818</v>
      </c>
    </row>
    <row r="572" spans="1:12" x14ac:dyDescent="0.35">
      <c r="A572" t="s">
        <v>288</v>
      </c>
      <c r="B572" t="s">
        <v>321</v>
      </c>
      <c r="C572" t="s">
        <v>250</v>
      </c>
      <c r="D572" t="s">
        <v>155</v>
      </c>
      <c r="E572">
        <v>5</v>
      </c>
      <c r="F572">
        <v>0</v>
      </c>
      <c r="G572">
        <v>0</v>
      </c>
      <c r="H572">
        <v>43818</v>
      </c>
      <c r="I572">
        <v>43818</v>
      </c>
    </row>
    <row r="573" spans="1:12" x14ac:dyDescent="0.35">
      <c r="A573" t="s">
        <v>193</v>
      </c>
      <c r="B573" t="s">
        <v>321</v>
      </c>
      <c r="C573" t="s">
        <v>250</v>
      </c>
      <c r="D573" t="s">
        <v>155</v>
      </c>
      <c r="E573">
        <v>5</v>
      </c>
      <c r="F573">
        <v>0</v>
      </c>
      <c r="G573">
        <v>0</v>
      </c>
      <c r="H573">
        <v>43818</v>
      </c>
      <c r="I573">
        <v>43818</v>
      </c>
      <c r="J573">
        <v>43861</v>
      </c>
      <c r="K573" t="s">
        <v>318</v>
      </c>
    </row>
    <row r="574" spans="1:12" x14ac:dyDescent="0.35">
      <c r="A574" t="s">
        <v>266</v>
      </c>
      <c r="B574" t="s">
        <v>321</v>
      </c>
      <c r="C574" t="s">
        <v>250</v>
      </c>
      <c r="D574" t="s">
        <v>155</v>
      </c>
      <c r="E574">
        <v>86</v>
      </c>
      <c r="F574">
        <v>9</v>
      </c>
      <c r="G574">
        <v>4</v>
      </c>
      <c r="H574">
        <v>43818</v>
      </c>
      <c r="I574">
        <v>43818</v>
      </c>
      <c r="L574">
        <v>43910</v>
      </c>
    </row>
    <row r="575" spans="1:12" x14ac:dyDescent="0.35">
      <c r="A575" t="s">
        <v>219</v>
      </c>
      <c r="B575" t="s">
        <v>322</v>
      </c>
      <c r="C575" t="s">
        <v>240</v>
      </c>
      <c r="D575" t="s">
        <v>155</v>
      </c>
      <c r="E575">
        <v>12</v>
      </c>
      <c r="F575">
        <v>3.0784543007612251</v>
      </c>
      <c r="G575">
        <v>1.5392271503806125</v>
      </c>
      <c r="H575">
        <v>43818</v>
      </c>
      <c r="I575">
        <v>43818</v>
      </c>
      <c r="J575">
        <v>43861</v>
      </c>
      <c r="K575" t="s">
        <v>317</v>
      </c>
      <c r="L575">
        <v>43862</v>
      </c>
    </row>
    <row r="576" spans="1:12" x14ac:dyDescent="0.35">
      <c r="A576" t="s">
        <v>287</v>
      </c>
      <c r="B576" t="s">
        <v>322</v>
      </c>
      <c r="C576" t="s">
        <v>240</v>
      </c>
      <c r="D576" t="s">
        <v>155</v>
      </c>
      <c r="E576">
        <v>2</v>
      </c>
      <c r="F576">
        <v>0</v>
      </c>
      <c r="G576">
        <v>0</v>
      </c>
      <c r="H576">
        <v>43818</v>
      </c>
      <c r="I576">
        <v>43818</v>
      </c>
    </row>
    <row r="577" spans="1:12" x14ac:dyDescent="0.35">
      <c r="A577" t="s">
        <v>230</v>
      </c>
      <c r="B577" t="s">
        <v>322</v>
      </c>
      <c r="C577" t="s">
        <v>240</v>
      </c>
      <c r="D577" t="s">
        <v>155</v>
      </c>
      <c r="E577">
        <v>10</v>
      </c>
      <c r="F577">
        <v>2.410289779305455</v>
      </c>
      <c r="G577">
        <v>1.2051448896527275</v>
      </c>
      <c r="H577">
        <v>43818</v>
      </c>
      <c r="I577">
        <v>43818</v>
      </c>
    </row>
    <row r="578" spans="1:12" x14ac:dyDescent="0.35">
      <c r="A578" t="s">
        <v>266</v>
      </c>
      <c r="B578" t="s">
        <v>322</v>
      </c>
      <c r="C578" t="s">
        <v>240</v>
      </c>
      <c r="D578" t="s">
        <v>155</v>
      </c>
      <c r="E578">
        <v>4</v>
      </c>
      <c r="F578">
        <v>0.804367735981941</v>
      </c>
      <c r="G578">
        <v>0.32174709439277638</v>
      </c>
      <c r="H578">
        <v>43818</v>
      </c>
      <c r="I578">
        <v>43818</v>
      </c>
    </row>
    <row r="579" spans="1:12" x14ac:dyDescent="0.35">
      <c r="A579" t="s">
        <v>230</v>
      </c>
      <c r="B579" t="s">
        <v>312</v>
      </c>
      <c r="C579" t="s">
        <v>132</v>
      </c>
      <c r="D579" t="s">
        <v>243</v>
      </c>
      <c r="E579">
        <v>2</v>
      </c>
      <c r="F579">
        <v>1.4414999295026065</v>
      </c>
      <c r="G579">
        <v>0.72074996475130326</v>
      </c>
      <c r="H579">
        <v>43829</v>
      </c>
      <c r="I579">
        <v>43829</v>
      </c>
    </row>
    <row r="580" spans="1:12" x14ac:dyDescent="0.35">
      <c r="A580" t="s">
        <v>219</v>
      </c>
      <c r="B580" t="s">
        <v>321</v>
      </c>
      <c r="C580" t="s">
        <v>236</v>
      </c>
      <c r="D580" t="s">
        <v>155</v>
      </c>
      <c r="E580">
        <v>134</v>
      </c>
      <c r="F580">
        <v>6.0188169615864009</v>
      </c>
      <c r="G580">
        <v>3.0094084807932004</v>
      </c>
      <c r="H580">
        <v>43833</v>
      </c>
      <c r="I580">
        <v>43833</v>
      </c>
      <c r="J580">
        <v>43861</v>
      </c>
      <c r="K580" t="s">
        <v>317</v>
      </c>
      <c r="L580">
        <v>43862</v>
      </c>
    </row>
    <row r="581" spans="1:12" x14ac:dyDescent="0.35">
      <c r="A581" t="s">
        <v>223</v>
      </c>
      <c r="B581" t="s">
        <v>321</v>
      </c>
      <c r="C581" t="s">
        <v>236</v>
      </c>
      <c r="D581" t="s">
        <v>155</v>
      </c>
      <c r="E581">
        <v>45</v>
      </c>
      <c r="F581">
        <v>1.9684181258018425</v>
      </c>
      <c r="G581">
        <v>0.98420906290092125</v>
      </c>
      <c r="H581">
        <v>43833</v>
      </c>
      <c r="I581">
        <v>43833</v>
      </c>
    </row>
    <row r="582" spans="1:12" x14ac:dyDescent="0.35">
      <c r="A582" t="s">
        <v>287</v>
      </c>
      <c r="B582" t="s">
        <v>321</v>
      </c>
      <c r="C582" t="s">
        <v>236</v>
      </c>
      <c r="D582" t="s">
        <v>155</v>
      </c>
      <c r="E582">
        <v>151</v>
      </c>
      <c r="F582">
        <v>6.6749563368536711</v>
      </c>
      <c r="G582">
        <v>3.3374781684268355</v>
      </c>
      <c r="H582">
        <v>43833</v>
      </c>
      <c r="I582">
        <v>43833</v>
      </c>
    </row>
    <row r="583" spans="1:12" x14ac:dyDescent="0.35">
      <c r="A583" t="s">
        <v>230</v>
      </c>
      <c r="B583" t="s">
        <v>321</v>
      </c>
      <c r="C583" t="s">
        <v>236</v>
      </c>
      <c r="D583" t="s">
        <v>155</v>
      </c>
      <c r="E583">
        <v>1</v>
      </c>
      <c r="F583">
        <v>1.2618064908986154E-2</v>
      </c>
      <c r="G583">
        <v>6.3090324544930769E-3</v>
      </c>
      <c r="H583">
        <v>43833</v>
      </c>
      <c r="I583">
        <v>43833</v>
      </c>
    </row>
    <row r="584" spans="1:12" x14ac:dyDescent="0.35">
      <c r="A584" t="s">
        <v>288</v>
      </c>
      <c r="B584" t="s">
        <v>321</v>
      </c>
      <c r="C584" t="s">
        <v>236</v>
      </c>
      <c r="D584" t="s">
        <v>155</v>
      </c>
      <c r="E584">
        <v>13</v>
      </c>
      <c r="F584">
        <v>0.56781292090437607</v>
      </c>
      <c r="G584">
        <v>0.28390646045218804</v>
      </c>
      <c r="H584">
        <v>43833</v>
      </c>
      <c r="I584">
        <v>43833</v>
      </c>
    </row>
    <row r="585" spans="1:12" x14ac:dyDescent="0.35">
      <c r="A585" t="s">
        <v>193</v>
      </c>
      <c r="B585" t="s">
        <v>321</v>
      </c>
      <c r="C585" t="s">
        <v>236</v>
      </c>
      <c r="D585" t="s">
        <v>155</v>
      </c>
      <c r="E585">
        <v>249</v>
      </c>
      <c r="F585">
        <v>11.179605509361746</v>
      </c>
      <c r="G585">
        <v>5.5898027546808731</v>
      </c>
      <c r="H585">
        <v>43833</v>
      </c>
      <c r="I585">
        <v>43833</v>
      </c>
      <c r="J585">
        <v>43861</v>
      </c>
      <c r="K585" t="s">
        <v>318</v>
      </c>
    </row>
    <row r="586" spans="1:12" x14ac:dyDescent="0.35">
      <c r="A586" t="s">
        <v>266</v>
      </c>
      <c r="B586" t="s">
        <v>321</v>
      </c>
      <c r="C586" t="s">
        <v>236</v>
      </c>
      <c r="D586" t="s">
        <v>155</v>
      </c>
      <c r="E586">
        <v>10</v>
      </c>
      <c r="F586">
        <v>0.40377807708755664</v>
      </c>
      <c r="G586">
        <v>0.16151123083502267</v>
      </c>
      <c r="H586">
        <v>43833</v>
      </c>
      <c r="I586">
        <v>43833</v>
      </c>
      <c r="L586">
        <v>43910</v>
      </c>
    </row>
    <row r="587" spans="1:12" x14ac:dyDescent="0.35">
      <c r="A587" t="s">
        <v>219</v>
      </c>
      <c r="B587" t="s">
        <v>321</v>
      </c>
      <c r="C587" t="s">
        <v>296</v>
      </c>
      <c r="D587" t="s">
        <v>155</v>
      </c>
      <c r="E587">
        <v>1</v>
      </c>
      <c r="F587">
        <v>0.40377807708755664</v>
      </c>
      <c r="G587">
        <v>0.16151123083502267</v>
      </c>
      <c r="H587">
        <v>43838</v>
      </c>
      <c r="I587">
        <v>43851</v>
      </c>
      <c r="J587">
        <v>43861</v>
      </c>
      <c r="K587" t="s">
        <v>317</v>
      </c>
    </row>
    <row r="588" spans="1:12" x14ac:dyDescent="0.35">
      <c r="A588" t="s">
        <v>287</v>
      </c>
      <c r="B588" t="s">
        <v>321</v>
      </c>
      <c r="C588" t="s">
        <v>296</v>
      </c>
      <c r="D588" t="s">
        <v>155</v>
      </c>
      <c r="E588">
        <v>2</v>
      </c>
      <c r="F588">
        <v>0.40377807708755664</v>
      </c>
      <c r="G588">
        <v>0.16151123083502267</v>
      </c>
      <c r="H588">
        <v>43838</v>
      </c>
      <c r="I588">
        <v>43851</v>
      </c>
    </row>
    <row r="589" spans="1:12" x14ac:dyDescent="0.35">
      <c r="A589" t="s">
        <v>266</v>
      </c>
      <c r="B589" t="s">
        <v>321</v>
      </c>
      <c r="C589" t="s">
        <v>296</v>
      </c>
      <c r="D589" t="s">
        <v>155</v>
      </c>
      <c r="E589">
        <v>2</v>
      </c>
      <c r="F589">
        <v>0.40377807708755664</v>
      </c>
      <c r="G589">
        <v>0.16151123083502267</v>
      </c>
      <c r="H589">
        <v>43838</v>
      </c>
      <c r="I589">
        <v>43851</v>
      </c>
      <c r="L589">
        <v>43910</v>
      </c>
    </row>
    <row r="590" spans="1:12" x14ac:dyDescent="0.35">
      <c r="A590" t="s">
        <v>266</v>
      </c>
      <c r="B590" t="s">
        <v>323</v>
      </c>
      <c r="C590" t="s">
        <v>173</v>
      </c>
      <c r="D590" t="s">
        <v>243</v>
      </c>
      <c r="E590">
        <v>57</v>
      </c>
      <c r="F590">
        <v>12</v>
      </c>
      <c r="G590">
        <v>5</v>
      </c>
      <c r="H590">
        <v>43839</v>
      </c>
      <c r="I590">
        <v>43839</v>
      </c>
      <c r="L590">
        <v>43910</v>
      </c>
    </row>
    <row r="591" spans="1:12" x14ac:dyDescent="0.35">
      <c r="A591" t="s">
        <v>219</v>
      </c>
      <c r="B591" t="s">
        <v>323</v>
      </c>
      <c r="C591" t="s">
        <v>302</v>
      </c>
      <c r="D591" t="s">
        <v>155</v>
      </c>
      <c r="E591">
        <v>77226</v>
      </c>
      <c r="F591">
        <v>105879.20546412989</v>
      </c>
      <c r="G591">
        <v>52939.602732064945</v>
      </c>
      <c r="H591">
        <v>43843</v>
      </c>
      <c r="I591">
        <v>43847</v>
      </c>
      <c r="J591">
        <v>43861</v>
      </c>
      <c r="K591" t="s">
        <v>324</v>
      </c>
      <c r="L591">
        <v>43862</v>
      </c>
    </row>
    <row r="592" spans="1:12" x14ac:dyDescent="0.35">
      <c r="A592" t="s">
        <v>303</v>
      </c>
      <c r="B592" t="s">
        <v>323</v>
      </c>
      <c r="C592" t="s">
        <v>302</v>
      </c>
      <c r="D592" t="s">
        <v>155</v>
      </c>
      <c r="E592">
        <v>106717</v>
      </c>
      <c r="F592">
        <v>172340.4379001706</v>
      </c>
      <c r="G592" t="s">
        <v>153</v>
      </c>
      <c r="H592">
        <v>43843</v>
      </c>
      <c r="I592">
        <v>43847</v>
      </c>
    </row>
    <row r="593" spans="1:12" x14ac:dyDescent="0.35">
      <c r="A593" t="s">
        <v>211</v>
      </c>
      <c r="B593" t="s">
        <v>323</v>
      </c>
      <c r="C593" t="s">
        <v>302</v>
      </c>
      <c r="D593" t="s">
        <v>155</v>
      </c>
      <c r="E593">
        <v>510</v>
      </c>
      <c r="F593">
        <v>414.83405103531032</v>
      </c>
      <c r="G593">
        <v>207.41702551765516</v>
      </c>
      <c r="H593">
        <v>43843</v>
      </c>
      <c r="I593">
        <v>43847</v>
      </c>
      <c r="J593">
        <v>43861</v>
      </c>
      <c r="K593" t="s">
        <v>317</v>
      </c>
      <c r="L593">
        <v>43811</v>
      </c>
    </row>
    <row r="594" spans="1:12" x14ac:dyDescent="0.35">
      <c r="A594" t="s">
        <v>152</v>
      </c>
      <c r="B594" t="s">
        <v>323</v>
      </c>
      <c r="C594" t="s">
        <v>302</v>
      </c>
      <c r="D594" t="s">
        <v>155</v>
      </c>
      <c r="E594">
        <v>27491</v>
      </c>
      <c r="F594">
        <v>43246.681115255917</v>
      </c>
      <c r="G594" t="s">
        <v>153</v>
      </c>
      <c r="H594">
        <v>43843</v>
      </c>
      <c r="I594">
        <v>43847</v>
      </c>
      <c r="J594" t="s">
        <v>325</v>
      </c>
    </row>
    <row r="595" spans="1:12" x14ac:dyDescent="0.35">
      <c r="A595" t="s">
        <v>265</v>
      </c>
      <c r="B595" t="s">
        <v>323</v>
      </c>
      <c r="C595" t="s">
        <v>302</v>
      </c>
      <c r="D595" t="s">
        <v>155</v>
      </c>
      <c r="E595">
        <v>19</v>
      </c>
      <c r="F595">
        <v>5.633227374322721</v>
      </c>
      <c r="G595">
        <v>2.8166136871613605</v>
      </c>
      <c r="H595">
        <v>43843</v>
      </c>
      <c r="I595">
        <v>43847</v>
      </c>
      <c r="J595" t="s">
        <v>325</v>
      </c>
    </row>
    <row r="596" spans="1:12" x14ac:dyDescent="0.35">
      <c r="A596" t="s">
        <v>232</v>
      </c>
      <c r="B596" t="s">
        <v>323</v>
      </c>
      <c r="C596" t="s">
        <v>302</v>
      </c>
      <c r="D596" t="s">
        <v>155</v>
      </c>
      <c r="E596">
        <v>5533</v>
      </c>
      <c r="F596">
        <v>5192.2574855645062</v>
      </c>
      <c r="G596">
        <v>0</v>
      </c>
      <c r="H596">
        <v>43843</v>
      </c>
      <c r="I596">
        <v>43847</v>
      </c>
    </row>
    <row r="597" spans="1:12" x14ac:dyDescent="0.35">
      <c r="A597" t="s">
        <v>326</v>
      </c>
      <c r="B597" t="s">
        <v>327</v>
      </c>
      <c r="C597" t="s">
        <v>302</v>
      </c>
      <c r="D597" t="s">
        <v>155</v>
      </c>
      <c r="E597">
        <v>34438</v>
      </c>
      <c r="F597">
        <v>33676.51128813393</v>
      </c>
      <c r="G597">
        <v>16838.255644066965</v>
      </c>
      <c r="H597">
        <v>43896</v>
      </c>
    </row>
    <row r="598" spans="1:12" x14ac:dyDescent="0.35">
      <c r="A598" t="s">
        <v>326</v>
      </c>
      <c r="B598" t="s">
        <v>323</v>
      </c>
      <c r="C598" t="s">
        <v>302</v>
      </c>
      <c r="D598" t="s">
        <v>155</v>
      </c>
      <c r="E598">
        <v>5957</v>
      </c>
      <c r="F598">
        <v>6566.3793098854458</v>
      </c>
      <c r="G598">
        <v>3283.1896549427229</v>
      </c>
      <c r="H598">
        <v>43843</v>
      </c>
      <c r="I598">
        <v>43847</v>
      </c>
      <c r="J598" t="s">
        <v>328</v>
      </c>
    </row>
    <row r="599" spans="1:12" x14ac:dyDescent="0.35">
      <c r="A599" t="s">
        <v>313</v>
      </c>
      <c r="B599" t="s">
        <v>323</v>
      </c>
      <c r="C599" t="s">
        <v>302</v>
      </c>
      <c r="D599" t="s">
        <v>155</v>
      </c>
      <c r="E599">
        <v>2156</v>
      </c>
      <c r="F599">
        <v>1712.1898278861006</v>
      </c>
      <c r="G599">
        <v>856.0949139430503</v>
      </c>
      <c r="H599">
        <v>43843</v>
      </c>
      <c r="I599">
        <v>43847</v>
      </c>
    </row>
    <row r="600" spans="1:12" x14ac:dyDescent="0.35">
      <c r="A600" t="s">
        <v>329</v>
      </c>
      <c r="B600" t="s">
        <v>323</v>
      </c>
      <c r="C600" t="s">
        <v>302</v>
      </c>
      <c r="D600" t="s">
        <v>155</v>
      </c>
      <c r="E600">
        <v>2253</v>
      </c>
      <c r="F600">
        <v>1570.5036611314472</v>
      </c>
      <c r="G600">
        <v>785.25183056572359</v>
      </c>
      <c r="H600">
        <v>43843</v>
      </c>
      <c r="I600">
        <v>43847</v>
      </c>
      <c r="J600" t="s">
        <v>330</v>
      </c>
      <c r="L600">
        <v>44522</v>
      </c>
    </row>
    <row r="601" spans="1:12" x14ac:dyDescent="0.35">
      <c r="A601" t="s">
        <v>210</v>
      </c>
      <c r="B601" t="s">
        <v>323</v>
      </c>
      <c r="C601" t="s">
        <v>302</v>
      </c>
      <c r="D601" t="s">
        <v>155</v>
      </c>
      <c r="E601">
        <v>1954</v>
      </c>
      <c r="F601">
        <v>1583.7652730277878</v>
      </c>
      <c r="G601">
        <v>475.12958190833632</v>
      </c>
      <c r="H601">
        <v>43843</v>
      </c>
      <c r="I601">
        <v>43847</v>
      </c>
    </row>
    <row r="602" spans="1:12" x14ac:dyDescent="0.35">
      <c r="A602" t="s">
        <v>314</v>
      </c>
      <c r="B602" t="s">
        <v>323</v>
      </c>
      <c r="C602" t="s">
        <v>302</v>
      </c>
      <c r="D602" t="s">
        <v>155</v>
      </c>
      <c r="E602">
        <v>37773</v>
      </c>
      <c r="F602">
        <v>94752.711061829294</v>
      </c>
      <c r="G602">
        <v>28425.813318548804</v>
      </c>
      <c r="H602">
        <v>43843</v>
      </c>
      <c r="I602">
        <v>43847</v>
      </c>
      <c r="J602">
        <v>43861</v>
      </c>
      <c r="K602" t="s">
        <v>317</v>
      </c>
      <c r="L602">
        <v>43872</v>
      </c>
    </row>
    <row r="603" spans="1:12" x14ac:dyDescent="0.35">
      <c r="A603" t="s">
        <v>30</v>
      </c>
      <c r="B603" t="s">
        <v>323</v>
      </c>
      <c r="C603" t="s">
        <v>302</v>
      </c>
      <c r="D603" t="s">
        <v>155</v>
      </c>
      <c r="E603">
        <v>27210</v>
      </c>
      <c r="F603">
        <v>64317.155079074255</v>
      </c>
      <c r="G603">
        <v>32158.577539537127</v>
      </c>
      <c r="H603">
        <v>43843</v>
      </c>
      <c r="I603">
        <v>43847</v>
      </c>
    </row>
    <row r="604" spans="1:12" x14ac:dyDescent="0.35">
      <c r="A604" t="s">
        <v>212</v>
      </c>
      <c r="B604" t="s">
        <v>323</v>
      </c>
      <c r="C604" t="s">
        <v>302</v>
      </c>
      <c r="D604" t="s">
        <v>155</v>
      </c>
      <c r="E604">
        <v>31955</v>
      </c>
      <c r="F604">
        <v>57443.873918327452</v>
      </c>
      <c r="G604">
        <v>28721.936959163726</v>
      </c>
      <c r="H604">
        <v>43843</v>
      </c>
      <c r="I604">
        <v>43847</v>
      </c>
    </row>
    <row r="605" spans="1:12" x14ac:dyDescent="0.35">
      <c r="A605" t="s">
        <v>78</v>
      </c>
      <c r="B605" t="s">
        <v>323</v>
      </c>
      <c r="C605" t="s">
        <v>302</v>
      </c>
      <c r="D605" t="s">
        <v>155</v>
      </c>
      <c r="E605">
        <v>25355</v>
      </c>
      <c r="F605">
        <v>39666.793045897466</v>
      </c>
      <c r="G605">
        <v>19833.396522948733</v>
      </c>
      <c r="H605">
        <v>43843</v>
      </c>
      <c r="I605">
        <v>43847</v>
      </c>
    </row>
    <row r="606" spans="1:12" x14ac:dyDescent="0.35">
      <c r="A606" t="s">
        <v>256</v>
      </c>
      <c r="B606" t="s">
        <v>323</v>
      </c>
      <c r="C606" t="s">
        <v>302</v>
      </c>
      <c r="D606" t="s">
        <v>155</v>
      </c>
      <c r="E606">
        <v>833</v>
      </c>
      <c r="F606">
        <v>381.87092181104327</v>
      </c>
      <c r="G606">
        <v>0</v>
      </c>
      <c r="H606">
        <v>43843</v>
      </c>
      <c r="I606">
        <v>43847</v>
      </c>
    </row>
    <row r="607" spans="1:12" x14ac:dyDescent="0.35">
      <c r="A607" t="s">
        <v>213</v>
      </c>
      <c r="B607" t="s">
        <v>323</v>
      </c>
      <c r="C607" t="s">
        <v>302</v>
      </c>
      <c r="D607" t="s">
        <v>155</v>
      </c>
      <c r="E607">
        <v>203</v>
      </c>
      <c r="F607">
        <v>146.11164242863418</v>
      </c>
      <c r="G607">
        <v>43.833492728590279</v>
      </c>
      <c r="H607">
        <v>43843</v>
      </c>
      <c r="I607">
        <v>43847</v>
      </c>
      <c r="L607">
        <v>43989</v>
      </c>
    </row>
    <row r="608" spans="1:12" x14ac:dyDescent="0.35">
      <c r="A608" t="s">
        <v>160</v>
      </c>
      <c r="B608" t="s">
        <v>323</v>
      </c>
      <c r="C608" t="s">
        <v>302</v>
      </c>
      <c r="D608" t="s">
        <v>155</v>
      </c>
      <c r="E608">
        <v>59944</v>
      </c>
      <c r="F608">
        <v>66881.545206493611</v>
      </c>
      <c r="G608">
        <v>0</v>
      </c>
      <c r="H608">
        <v>43843</v>
      </c>
      <c r="I608">
        <v>43847</v>
      </c>
    </row>
    <row r="609" spans="1:12" x14ac:dyDescent="0.35">
      <c r="A609" t="s">
        <v>120</v>
      </c>
      <c r="B609" t="s">
        <v>323</v>
      </c>
      <c r="C609" t="s">
        <v>302</v>
      </c>
      <c r="D609" t="s">
        <v>155</v>
      </c>
      <c r="E609">
        <v>245058</v>
      </c>
      <c r="F609">
        <v>248368.29011111881</v>
      </c>
      <c r="G609">
        <v>0</v>
      </c>
      <c r="H609">
        <v>43843</v>
      </c>
      <c r="I609">
        <v>43847</v>
      </c>
    </row>
    <row r="610" spans="1:12" x14ac:dyDescent="0.35">
      <c r="A610" t="s">
        <v>190</v>
      </c>
      <c r="B610" t="s">
        <v>323</v>
      </c>
      <c r="C610" t="s">
        <v>302</v>
      </c>
      <c r="D610" t="s">
        <v>155</v>
      </c>
      <c r="E610">
        <v>29559</v>
      </c>
      <c r="F610">
        <v>32750.223342087294</v>
      </c>
      <c r="G610">
        <v>16375.111671043647</v>
      </c>
      <c r="H610">
        <v>43843</v>
      </c>
      <c r="I610">
        <v>43847</v>
      </c>
      <c r="K610" t="s">
        <v>317</v>
      </c>
      <c r="L610">
        <v>44201</v>
      </c>
    </row>
    <row r="611" spans="1:12" x14ac:dyDescent="0.35">
      <c r="A611" t="s">
        <v>162</v>
      </c>
      <c r="B611" t="s">
        <v>323</v>
      </c>
      <c r="C611" t="s">
        <v>302</v>
      </c>
      <c r="D611" t="s">
        <v>155</v>
      </c>
      <c r="E611">
        <v>3228</v>
      </c>
      <c r="F611">
        <v>3608.4935566207646</v>
      </c>
      <c r="G611">
        <v>2165.0961339724618</v>
      </c>
      <c r="H611">
        <v>43843</v>
      </c>
      <c r="I611">
        <v>43847</v>
      </c>
      <c r="J611">
        <v>43861</v>
      </c>
      <c r="K611" t="s">
        <v>317</v>
      </c>
      <c r="L611">
        <v>43989</v>
      </c>
    </row>
    <row r="612" spans="1:12" x14ac:dyDescent="0.35">
      <c r="A612" t="s">
        <v>257</v>
      </c>
      <c r="B612" t="s">
        <v>323</v>
      </c>
      <c r="C612" t="s">
        <v>302</v>
      </c>
      <c r="D612" t="s">
        <v>155</v>
      </c>
      <c r="E612">
        <v>17618</v>
      </c>
      <c r="F612">
        <v>1343.6186887366707</v>
      </c>
      <c r="G612">
        <v>0</v>
      </c>
      <c r="H612">
        <v>43843</v>
      </c>
      <c r="I612">
        <v>43847</v>
      </c>
    </row>
    <row r="613" spans="1:12" x14ac:dyDescent="0.35">
      <c r="A613" t="s">
        <v>214</v>
      </c>
      <c r="B613" t="s">
        <v>323</v>
      </c>
      <c r="C613" t="s">
        <v>302</v>
      </c>
      <c r="D613" t="s">
        <v>155</v>
      </c>
      <c r="E613">
        <v>1</v>
      </c>
      <c r="F613">
        <v>1.0745183058676076E-2</v>
      </c>
      <c r="G613">
        <v>4.2980732234704309E-3</v>
      </c>
      <c r="H613">
        <v>43843</v>
      </c>
      <c r="I613">
        <v>43847</v>
      </c>
    </row>
    <row r="614" spans="1:12" x14ac:dyDescent="0.35">
      <c r="A614" t="s">
        <v>278</v>
      </c>
      <c r="B614" t="s">
        <v>323</v>
      </c>
      <c r="C614" t="s">
        <v>302</v>
      </c>
      <c r="D614" t="s">
        <v>155</v>
      </c>
      <c r="E614">
        <v>9124</v>
      </c>
      <c r="F614">
        <v>7370.5437305380665</v>
      </c>
      <c r="G614">
        <v>3685.2718652690332</v>
      </c>
      <c r="H614">
        <v>43843</v>
      </c>
      <c r="I614">
        <v>43847</v>
      </c>
    </row>
    <row r="615" spans="1:12" x14ac:dyDescent="0.35">
      <c r="A615" t="s">
        <v>283</v>
      </c>
      <c r="B615" t="s">
        <v>323</v>
      </c>
      <c r="C615" t="s">
        <v>302</v>
      </c>
      <c r="D615" t="s">
        <v>155</v>
      </c>
      <c r="E615">
        <v>2487</v>
      </c>
      <c r="F615">
        <v>5908.0843805597087</v>
      </c>
      <c r="G615">
        <v>2954.0421902798544</v>
      </c>
      <c r="H615">
        <v>43843</v>
      </c>
      <c r="I615">
        <v>43847</v>
      </c>
      <c r="L615">
        <v>43872</v>
      </c>
    </row>
    <row r="616" spans="1:12" x14ac:dyDescent="0.35">
      <c r="A616" t="s">
        <v>306</v>
      </c>
      <c r="B616" t="s">
        <v>323</v>
      </c>
      <c r="C616" t="s">
        <v>302</v>
      </c>
      <c r="D616" t="s">
        <v>155</v>
      </c>
      <c r="E616">
        <v>6298</v>
      </c>
      <c r="F616">
        <v>8068</v>
      </c>
      <c r="G616" t="s">
        <v>153</v>
      </c>
      <c r="H616">
        <v>43843</v>
      </c>
      <c r="I616">
        <v>43847</v>
      </c>
      <c r="L616">
        <v>43872</v>
      </c>
    </row>
    <row r="617" spans="1:12" x14ac:dyDescent="0.35">
      <c r="A617" t="s">
        <v>279</v>
      </c>
      <c r="B617" t="s">
        <v>323</v>
      </c>
      <c r="C617" t="s">
        <v>302</v>
      </c>
      <c r="D617" t="s">
        <v>155</v>
      </c>
      <c r="E617">
        <v>12991</v>
      </c>
      <c r="F617">
        <v>12981.464052147501</v>
      </c>
      <c r="G617" t="s">
        <v>153</v>
      </c>
      <c r="H617">
        <v>43843</v>
      </c>
      <c r="I617">
        <v>43847</v>
      </c>
    </row>
    <row r="618" spans="1:12" x14ac:dyDescent="0.35">
      <c r="A618" t="s">
        <v>151</v>
      </c>
      <c r="B618" t="s">
        <v>323</v>
      </c>
      <c r="C618" t="s">
        <v>302</v>
      </c>
      <c r="D618" t="s">
        <v>155</v>
      </c>
      <c r="E618">
        <v>1106933</v>
      </c>
      <c r="F618">
        <v>1274495.1057837829</v>
      </c>
      <c r="G618">
        <v>764697.06347025873</v>
      </c>
      <c r="H618">
        <v>43843</v>
      </c>
      <c r="I618">
        <v>43847</v>
      </c>
    </row>
    <row r="619" spans="1:12" x14ac:dyDescent="0.35">
      <c r="A619" t="s">
        <v>193</v>
      </c>
      <c r="B619" t="s">
        <v>323</v>
      </c>
      <c r="C619" t="s">
        <v>302</v>
      </c>
      <c r="D619" t="s">
        <v>155</v>
      </c>
      <c r="E619">
        <v>10401</v>
      </c>
      <c r="F619">
        <v>11241.953954761349</v>
      </c>
      <c r="G619">
        <v>5620.9769773806747</v>
      </c>
      <c r="H619">
        <v>43843</v>
      </c>
      <c r="I619">
        <v>43847</v>
      </c>
      <c r="J619">
        <v>43861</v>
      </c>
      <c r="K619" t="s">
        <v>318</v>
      </c>
    </row>
    <row r="620" spans="1:12" x14ac:dyDescent="0.35">
      <c r="A620" t="s">
        <v>215</v>
      </c>
      <c r="B620" t="s">
        <v>323</v>
      </c>
      <c r="C620" t="s">
        <v>302</v>
      </c>
      <c r="D620" t="s">
        <v>155</v>
      </c>
      <c r="E620">
        <v>25</v>
      </c>
      <c r="F620">
        <v>2.3899605760310911</v>
      </c>
      <c r="G620">
        <v>1.1949802880155456</v>
      </c>
      <c r="H620">
        <v>43843</v>
      </c>
      <c r="I620">
        <v>43847</v>
      </c>
    </row>
    <row r="621" spans="1:12" x14ac:dyDescent="0.35">
      <c r="A621" t="s">
        <v>266</v>
      </c>
      <c r="B621" t="s">
        <v>323</v>
      </c>
      <c r="C621" t="s">
        <v>302</v>
      </c>
      <c r="D621" t="s">
        <v>155</v>
      </c>
      <c r="E621">
        <v>7380</v>
      </c>
      <c r="F621">
        <v>8162.6038122527316</v>
      </c>
      <c r="G621">
        <v>3265.041524901093</v>
      </c>
      <c r="H621">
        <v>43843</v>
      </c>
      <c r="I621">
        <v>43847</v>
      </c>
      <c r="L621">
        <v>43910</v>
      </c>
    </row>
    <row r="622" spans="1:12" x14ac:dyDescent="0.35">
      <c r="A622" t="s">
        <v>267</v>
      </c>
      <c r="B622" t="s">
        <v>323</v>
      </c>
      <c r="C622" t="s">
        <v>302</v>
      </c>
      <c r="D622" t="s">
        <v>155</v>
      </c>
      <c r="E622">
        <v>130573</v>
      </c>
      <c r="F622">
        <v>216916.78083531462</v>
      </c>
      <c r="G622">
        <v>0</v>
      </c>
      <c r="H622">
        <v>43843</v>
      </c>
      <c r="I622">
        <v>43847</v>
      </c>
    </row>
    <row r="623" spans="1:12" x14ac:dyDescent="0.35">
      <c r="A623" t="s">
        <v>183</v>
      </c>
      <c r="B623" t="s">
        <v>323</v>
      </c>
      <c r="C623" t="s">
        <v>302</v>
      </c>
      <c r="D623" t="s">
        <v>155</v>
      </c>
      <c r="E623">
        <v>324107</v>
      </c>
      <c r="F623">
        <v>570447.85394297226</v>
      </c>
      <c r="G623">
        <v>0</v>
      </c>
      <c r="H623">
        <v>43843</v>
      </c>
      <c r="I623">
        <v>43847</v>
      </c>
    </row>
    <row r="624" spans="1:12" x14ac:dyDescent="0.35">
      <c r="A624" t="s">
        <v>186</v>
      </c>
      <c r="B624" t="s">
        <v>323</v>
      </c>
      <c r="C624" t="s">
        <v>302</v>
      </c>
      <c r="D624" t="s">
        <v>155</v>
      </c>
      <c r="E624">
        <v>6177</v>
      </c>
      <c r="F624">
        <v>7815.5439309505146</v>
      </c>
      <c r="G624">
        <v>3907.7719654752573</v>
      </c>
      <c r="H624">
        <v>43843</v>
      </c>
      <c r="I624">
        <v>43847</v>
      </c>
    </row>
    <row r="625" spans="1:12" x14ac:dyDescent="0.35">
      <c r="A625" t="s">
        <v>315</v>
      </c>
      <c r="B625" t="s">
        <v>323</v>
      </c>
      <c r="C625" t="s">
        <v>302</v>
      </c>
      <c r="D625" t="s">
        <v>155</v>
      </c>
      <c r="E625">
        <v>5622640</v>
      </c>
      <c r="F625">
        <v>9069530.9627590198</v>
      </c>
      <c r="G625" t="s">
        <v>153</v>
      </c>
      <c r="H625">
        <v>43843</v>
      </c>
      <c r="I625">
        <v>43847</v>
      </c>
    </row>
    <row r="626" spans="1:12" x14ac:dyDescent="0.35">
      <c r="A626" t="s">
        <v>268</v>
      </c>
      <c r="B626" t="s">
        <v>323</v>
      </c>
      <c r="C626" t="s">
        <v>302</v>
      </c>
      <c r="D626" t="s">
        <v>155</v>
      </c>
      <c r="E626">
        <v>1575</v>
      </c>
      <c r="F626">
        <v>2637.4020378351688</v>
      </c>
      <c r="G626">
        <v>1054.9608151340674</v>
      </c>
      <c r="H626">
        <v>43843</v>
      </c>
      <c r="I626">
        <v>43847</v>
      </c>
      <c r="J626">
        <v>43861</v>
      </c>
      <c r="K626" t="s">
        <v>331</v>
      </c>
      <c r="L626">
        <v>43910</v>
      </c>
    </row>
    <row r="627" spans="1:12" x14ac:dyDescent="0.35">
      <c r="A627" t="s">
        <v>258</v>
      </c>
      <c r="B627" t="s">
        <v>323</v>
      </c>
      <c r="C627" t="s">
        <v>302</v>
      </c>
      <c r="D627" t="s">
        <v>155</v>
      </c>
      <c r="E627">
        <v>3287</v>
      </c>
      <c r="F627">
        <v>260.59409145884769</v>
      </c>
      <c r="G627">
        <v>0</v>
      </c>
      <c r="H627">
        <v>43843</v>
      </c>
      <c r="I627">
        <v>43847</v>
      </c>
    </row>
    <row r="628" spans="1:12" x14ac:dyDescent="0.35">
      <c r="A628" t="s">
        <v>332</v>
      </c>
      <c r="B628" t="s">
        <v>321</v>
      </c>
      <c r="C628" t="s">
        <v>302</v>
      </c>
      <c r="D628" t="s">
        <v>155</v>
      </c>
      <c r="E628">
        <v>2501</v>
      </c>
      <c r="F628">
        <v>4399.6624734404104</v>
      </c>
      <c r="G628">
        <v>1759.8649893761644</v>
      </c>
      <c r="H628">
        <v>43873</v>
      </c>
      <c r="I628">
        <v>43873</v>
      </c>
    </row>
    <row r="629" spans="1:12" x14ac:dyDescent="0.35">
      <c r="A629" t="s">
        <v>219</v>
      </c>
      <c r="B629" t="s">
        <v>321</v>
      </c>
      <c r="C629" t="s">
        <v>240</v>
      </c>
      <c r="D629" t="s">
        <v>155</v>
      </c>
      <c r="E629">
        <v>9</v>
      </c>
      <c r="F629">
        <v>2</v>
      </c>
      <c r="G629">
        <v>1</v>
      </c>
      <c r="H629">
        <v>43845</v>
      </c>
      <c r="I629">
        <v>43845</v>
      </c>
      <c r="J629">
        <v>43861</v>
      </c>
      <c r="K629" t="s">
        <v>317</v>
      </c>
      <c r="L629">
        <v>43862</v>
      </c>
    </row>
    <row r="630" spans="1:12" x14ac:dyDescent="0.35">
      <c r="A630" t="s">
        <v>287</v>
      </c>
      <c r="B630" t="s">
        <v>321</v>
      </c>
      <c r="C630" t="s">
        <v>240</v>
      </c>
      <c r="D630" t="s">
        <v>155</v>
      </c>
      <c r="E630">
        <v>14</v>
      </c>
      <c r="F630">
        <v>3</v>
      </c>
      <c r="G630">
        <v>1</v>
      </c>
      <c r="H630">
        <v>43845</v>
      </c>
      <c r="I630">
        <v>43845</v>
      </c>
    </row>
    <row r="631" spans="1:12" x14ac:dyDescent="0.35">
      <c r="A631" t="s">
        <v>230</v>
      </c>
      <c r="B631" t="s">
        <v>321</v>
      </c>
      <c r="C631" t="s">
        <v>240</v>
      </c>
      <c r="D631" t="s">
        <v>155</v>
      </c>
      <c r="E631">
        <v>1</v>
      </c>
      <c r="F631">
        <v>0</v>
      </c>
      <c r="G631">
        <v>0</v>
      </c>
      <c r="H631">
        <v>43845</v>
      </c>
      <c r="I631">
        <v>43845</v>
      </c>
    </row>
    <row r="632" spans="1:12" x14ac:dyDescent="0.35">
      <c r="A632" t="s">
        <v>266</v>
      </c>
      <c r="B632" t="s">
        <v>321</v>
      </c>
      <c r="C632" t="s">
        <v>240</v>
      </c>
      <c r="D632" t="s">
        <v>155</v>
      </c>
      <c r="E632">
        <v>3</v>
      </c>
      <c r="F632">
        <v>1</v>
      </c>
      <c r="G632">
        <v>0</v>
      </c>
      <c r="H632">
        <v>43845</v>
      </c>
      <c r="I632">
        <v>43845</v>
      </c>
      <c r="L632">
        <v>43910</v>
      </c>
    </row>
    <row r="633" spans="1:12" x14ac:dyDescent="0.35">
      <c r="A633" t="s">
        <v>219</v>
      </c>
      <c r="B633" t="s">
        <v>333</v>
      </c>
      <c r="C633" t="s">
        <v>236</v>
      </c>
      <c r="D633" t="s">
        <v>155</v>
      </c>
      <c r="E633">
        <v>60</v>
      </c>
      <c r="F633">
        <v>2</v>
      </c>
      <c r="G633">
        <v>1</v>
      </c>
      <c r="H633">
        <v>43847</v>
      </c>
      <c r="I633">
        <v>43847</v>
      </c>
      <c r="J633">
        <v>43861</v>
      </c>
      <c r="K633" t="s">
        <v>317</v>
      </c>
      <c r="L633">
        <v>43862</v>
      </c>
    </row>
    <row r="634" spans="1:12" x14ac:dyDescent="0.35">
      <c r="A634" t="s">
        <v>223</v>
      </c>
      <c r="B634" t="s">
        <v>333</v>
      </c>
      <c r="C634" t="s">
        <v>236</v>
      </c>
      <c r="D634" t="s">
        <v>155</v>
      </c>
      <c r="E634">
        <v>33</v>
      </c>
      <c r="F634">
        <v>1</v>
      </c>
      <c r="G634">
        <v>1</v>
      </c>
      <c r="H634">
        <v>43847</v>
      </c>
      <c r="I634">
        <v>43847</v>
      </c>
    </row>
    <row r="635" spans="1:12" x14ac:dyDescent="0.35">
      <c r="A635" t="s">
        <v>287</v>
      </c>
      <c r="B635" t="s">
        <v>333</v>
      </c>
      <c r="C635" t="s">
        <v>236</v>
      </c>
      <c r="D635" t="s">
        <v>155</v>
      </c>
      <c r="E635">
        <v>98</v>
      </c>
      <c r="F635">
        <v>4</v>
      </c>
      <c r="G635">
        <v>2</v>
      </c>
      <c r="H635">
        <v>43847</v>
      </c>
      <c r="I635">
        <v>43847</v>
      </c>
    </row>
    <row r="636" spans="1:12" x14ac:dyDescent="0.35">
      <c r="A636" t="s">
        <v>230</v>
      </c>
      <c r="B636" t="s">
        <v>333</v>
      </c>
      <c r="C636" t="s">
        <v>236</v>
      </c>
      <c r="D636" t="s">
        <v>155</v>
      </c>
      <c r="E636">
        <v>2</v>
      </c>
      <c r="F636">
        <v>0</v>
      </c>
      <c r="G636">
        <v>0</v>
      </c>
      <c r="H636">
        <v>43847</v>
      </c>
      <c r="I636">
        <v>43847</v>
      </c>
    </row>
    <row r="637" spans="1:12" x14ac:dyDescent="0.35">
      <c r="A637" t="s">
        <v>288</v>
      </c>
      <c r="B637" t="s">
        <v>333</v>
      </c>
      <c r="C637" t="s">
        <v>236</v>
      </c>
      <c r="D637" t="s">
        <v>155</v>
      </c>
      <c r="E637">
        <v>11</v>
      </c>
      <c r="F637">
        <v>0</v>
      </c>
      <c r="G637">
        <v>0</v>
      </c>
      <c r="H637">
        <v>43847</v>
      </c>
      <c r="I637">
        <v>43847</v>
      </c>
    </row>
    <row r="638" spans="1:12" x14ac:dyDescent="0.35">
      <c r="A638" t="s">
        <v>193</v>
      </c>
      <c r="B638" t="s">
        <v>333</v>
      </c>
      <c r="C638" t="s">
        <v>236</v>
      </c>
      <c r="D638" t="s">
        <v>155</v>
      </c>
      <c r="E638">
        <v>110</v>
      </c>
      <c r="F638">
        <v>5</v>
      </c>
      <c r="G638">
        <v>2</v>
      </c>
      <c r="H638">
        <v>43847</v>
      </c>
      <c r="I638">
        <v>43847</v>
      </c>
      <c r="J638">
        <v>43861</v>
      </c>
      <c r="K638" t="s">
        <v>318</v>
      </c>
    </row>
    <row r="639" spans="1:12" x14ac:dyDescent="0.35">
      <c r="A639" t="s">
        <v>266</v>
      </c>
      <c r="B639" t="s">
        <v>333</v>
      </c>
      <c r="C639" t="s">
        <v>236</v>
      </c>
      <c r="D639" t="s">
        <v>155</v>
      </c>
      <c r="E639">
        <v>14</v>
      </c>
      <c r="F639">
        <v>1</v>
      </c>
      <c r="G639">
        <v>0</v>
      </c>
      <c r="H639">
        <v>43847</v>
      </c>
      <c r="I639">
        <v>43847</v>
      </c>
      <c r="L639">
        <v>43910</v>
      </c>
    </row>
    <row r="640" spans="1:12" x14ac:dyDescent="0.35">
      <c r="A640" t="s">
        <v>219</v>
      </c>
      <c r="B640" t="s">
        <v>334</v>
      </c>
      <c r="C640" t="s">
        <v>246</v>
      </c>
      <c r="D640" t="s">
        <v>155</v>
      </c>
      <c r="E640">
        <v>30179</v>
      </c>
      <c r="F640" t="s">
        <v>153</v>
      </c>
      <c r="G640">
        <v>3017.9</v>
      </c>
      <c r="H640">
        <v>43851</v>
      </c>
      <c r="I640">
        <v>43851</v>
      </c>
      <c r="J640">
        <v>43861</v>
      </c>
      <c r="K640" t="s">
        <v>317</v>
      </c>
      <c r="L640">
        <v>43862</v>
      </c>
    </row>
    <row r="641" spans="1:13" x14ac:dyDescent="0.35">
      <c r="A641" t="s">
        <v>223</v>
      </c>
      <c r="B641" t="s">
        <v>334</v>
      </c>
      <c r="C641" t="s">
        <v>246</v>
      </c>
      <c r="D641" t="s">
        <v>155</v>
      </c>
      <c r="E641">
        <v>69</v>
      </c>
      <c r="F641" t="s">
        <v>153</v>
      </c>
      <c r="G641">
        <v>7</v>
      </c>
      <c r="H641">
        <v>43851</v>
      </c>
      <c r="I641">
        <v>43851</v>
      </c>
    </row>
    <row r="642" spans="1:13" x14ac:dyDescent="0.35">
      <c r="A642" t="s">
        <v>287</v>
      </c>
      <c r="B642" t="s">
        <v>334</v>
      </c>
      <c r="C642" t="s">
        <v>246</v>
      </c>
      <c r="D642" t="s">
        <v>155</v>
      </c>
      <c r="E642">
        <v>138</v>
      </c>
      <c r="F642" t="s">
        <v>153</v>
      </c>
      <c r="G642">
        <v>7</v>
      </c>
      <c r="H642">
        <v>43851</v>
      </c>
      <c r="I642">
        <v>43851</v>
      </c>
    </row>
    <row r="643" spans="1:13" x14ac:dyDescent="0.35">
      <c r="A643" t="s">
        <v>230</v>
      </c>
      <c r="B643" t="s">
        <v>334</v>
      </c>
      <c r="C643" t="s">
        <v>246</v>
      </c>
      <c r="D643" t="s">
        <v>155</v>
      </c>
      <c r="E643">
        <v>4</v>
      </c>
      <c r="F643" t="s">
        <v>153</v>
      </c>
      <c r="G643">
        <v>0</v>
      </c>
      <c r="H643">
        <v>43851</v>
      </c>
      <c r="I643">
        <v>43851</v>
      </c>
    </row>
    <row r="644" spans="1:13" x14ac:dyDescent="0.35">
      <c r="A644" t="s">
        <v>193</v>
      </c>
      <c r="B644" t="s">
        <v>334</v>
      </c>
      <c r="C644" t="s">
        <v>246</v>
      </c>
      <c r="D644" t="s">
        <v>155</v>
      </c>
      <c r="E644">
        <v>351</v>
      </c>
      <c r="F644" t="s">
        <v>153</v>
      </c>
      <c r="G644">
        <v>35</v>
      </c>
      <c r="H644">
        <v>43851</v>
      </c>
      <c r="I644">
        <v>43851</v>
      </c>
      <c r="J644">
        <v>43861</v>
      </c>
      <c r="K644" t="s">
        <v>318</v>
      </c>
    </row>
    <row r="645" spans="1:13" x14ac:dyDescent="0.35">
      <c r="A645" t="s">
        <v>266</v>
      </c>
      <c r="B645" t="s">
        <v>334</v>
      </c>
      <c r="C645" t="s">
        <v>246</v>
      </c>
      <c r="D645" t="s">
        <v>155</v>
      </c>
      <c r="E645">
        <v>5888</v>
      </c>
      <c r="F645" t="s">
        <v>153</v>
      </c>
      <c r="G645">
        <v>589</v>
      </c>
      <c r="H645">
        <v>43851</v>
      </c>
      <c r="I645">
        <v>43851</v>
      </c>
      <c r="L645">
        <v>43910</v>
      </c>
    </row>
    <row r="646" spans="1:13" x14ac:dyDescent="0.35">
      <c r="A646" t="s">
        <v>266</v>
      </c>
      <c r="B646" t="s">
        <v>333</v>
      </c>
      <c r="C646" t="s">
        <v>173</v>
      </c>
      <c r="D646" t="s">
        <v>243</v>
      </c>
      <c r="E646">
        <v>20</v>
      </c>
      <c r="F646">
        <v>4</v>
      </c>
      <c r="G646">
        <v>2</v>
      </c>
      <c r="H646">
        <v>43853</v>
      </c>
      <c r="I646">
        <v>43853</v>
      </c>
      <c r="L646">
        <v>43910</v>
      </c>
    </row>
    <row r="647" spans="1:13" x14ac:dyDescent="0.35">
      <c r="A647" t="s">
        <v>326</v>
      </c>
      <c r="B647" t="s">
        <v>327</v>
      </c>
      <c r="C647" t="s">
        <v>302</v>
      </c>
      <c r="D647" t="s">
        <v>155</v>
      </c>
      <c r="E647">
        <v>34438</v>
      </c>
      <c r="F647">
        <v>33676.51128813393</v>
      </c>
      <c r="G647">
        <v>16838.255644066965</v>
      </c>
      <c r="H647">
        <v>43895</v>
      </c>
      <c r="I647">
        <v>43895</v>
      </c>
    </row>
    <row r="648" spans="1:13" x14ac:dyDescent="0.35">
      <c r="A648" t="s">
        <v>329</v>
      </c>
      <c r="B648" t="s">
        <v>335</v>
      </c>
      <c r="C648" t="s">
        <v>302</v>
      </c>
      <c r="D648" t="s">
        <v>155</v>
      </c>
      <c r="E648">
        <v>54219</v>
      </c>
      <c r="F648">
        <v>53492.603322443698</v>
      </c>
      <c r="G648">
        <v>26746.301661221849</v>
      </c>
      <c r="H648">
        <v>43895</v>
      </c>
      <c r="I648">
        <v>43895</v>
      </c>
      <c r="L648">
        <v>44522</v>
      </c>
    </row>
    <row r="649" spans="1:13" x14ac:dyDescent="0.35">
      <c r="A649" t="s">
        <v>219</v>
      </c>
      <c r="B649" t="s">
        <v>336</v>
      </c>
      <c r="C649" t="s">
        <v>242</v>
      </c>
      <c r="D649" t="s">
        <v>243</v>
      </c>
      <c r="E649">
        <v>4</v>
      </c>
      <c r="F649">
        <v>111.84291989548231</v>
      </c>
      <c r="G649">
        <v>55.921459947741155</v>
      </c>
      <c r="H649">
        <v>43859</v>
      </c>
      <c r="I649">
        <v>43859</v>
      </c>
      <c r="J649">
        <v>43937</v>
      </c>
      <c r="K649" t="s">
        <v>324</v>
      </c>
      <c r="L649">
        <v>43983</v>
      </c>
    </row>
    <row r="650" spans="1:13" x14ac:dyDescent="0.35">
      <c r="A650" t="s">
        <v>287</v>
      </c>
      <c r="B650" t="s">
        <v>336</v>
      </c>
      <c r="C650" t="s">
        <v>242</v>
      </c>
      <c r="D650" t="s">
        <v>243</v>
      </c>
      <c r="E650">
        <v>3</v>
      </c>
      <c r="F650">
        <v>83.788704156724194</v>
      </c>
      <c r="G650">
        <v>41.894352078362097</v>
      </c>
      <c r="H650">
        <v>43859</v>
      </c>
      <c r="I650">
        <v>43859</v>
      </c>
    </row>
    <row r="651" spans="1:13" x14ac:dyDescent="0.35">
      <c r="A651" t="s">
        <v>219</v>
      </c>
      <c r="B651" t="s">
        <v>337</v>
      </c>
      <c r="C651" t="s">
        <v>302</v>
      </c>
      <c r="D651" t="s">
        <v>155</v>
      </c>
      <c r="E651">
        <v>11588</v>
      </c>
      <c r="F651">
        <v>27585.556439278742</v>
      </c>
      <c r="G651">
        <v>13792.778219639371</v>
      </c>
      <c r="H651">
        <v>43880</v>
      </c>
      <c r="J651">
        <v>43983</v>
      </c>
      <c r="K651" t="s">
        <v>324</v>
      </c>
      <c r="L651">
        <v>43985</v>
      </c>
      <c r="M651" t="s">
        <v>338</v>
      </c>
    </row>
    <row r="652" spans="1:13" x14ac:dyDescent="0.35">
      <c r="A652" t="s">
        <v>303</v>
      </c>
      <c r="B652" t="s">
        <v>337</v>
      </c>
      <c r="C652" t="s">
        <v>302</v>
      </c>
      <c r="D652" t="s">
        <v>155</v>
      </c>
      <c r="E652">
        <v>92377</v>
      </c>
      <c r="F652">
        <v>142992.47188305762</v>
      </c>
      <c r="G652" t="s">
        <v>153</v>
      </c>
      <c r="H652">
        <v>43880</v>
      </c>
    </row>
    <row r="653" spans="1:13" x14ac:dyDescent="0.35">
      <c r="A653" t="s">
        <v>339</v>
      </c>
      <c r="B653" t="s">
        <v>337</v>
      </c>
      <c r="C653" t="s">
        <v>302</v>
      </c>
      <c r="D653" t="s">
        <v>155</v>
      </c>
      <c r="E653">
        <v>703</v>
      </c>
      <c r="F653">
        <v>638.87092539699404</v>
      </c>
      <c r="G653" t="s">
        <v>153</v>
      </c>
      <c r="H653">
        <v>43880</v>
      </c>
    </row>
    <row r="654" spans="1:13" x14ac:dyDescent="0.35">
      <c r="A654" t="s">
        <v>211</v>
      </c>
      <c r="B654" t="s">
        <v>337</v>
      </c>
      <c r="C654" t="s">
        <v>302</v>
      </c>
      <c r="D654" t="s">
        <v>155</v>
      </c>
      <c r="E654">
        <v>20</v>
      </c>
      <c r="F654">
        <v>125.73738581587621</v>
      </c>
      <c r="G654">
        <v>62.868692907938104</v>
      </c>
      <c r="H654">
        <v>43880</v>
      </c>
      <c r="I654">
        <v>43880</v>
      </c>
      <c r="J654">
        <v>43937</v>
      </c>
      <c r="K654" t="s">
        <v>324</v>
      </c>
      <c r="L654">
        <v>43811</v>
      </c>
    </row>
    <row r="655" spans="1:13" x14ac:dyDescent="0.35">
      <c r="A655" t="s">
        <v>152</v>
      </c>
      <c r="B655" t="s">
        <v>337</v>
      </c>
      <c r="C655" t="s">
        <v>302</v>
      </c>
      <c r="D655" t="s">
        <v>155</v>
      </c>
      <c r="E655">
        <v>12008</v>
      </c>
      <c r="F655">
        <v>18782.711185883654</v>
      </c>
      <c r="G655" t="s">
        <v>153</v>
      </c>
      <c r="H655">
        <v>43880</v>
      </c>
    </row>
    <row r="656" spans="1:13" x14ac:dyDescent="0.35">
      <c r="A656" t="s">
        <v>265</v>
      </c>
      <c r="B656" t="s">
        <v>337</v>
      </c>
      <c r="C656" t="s">
        <v>302</v>
      </c>
      <c r="D656" t="s">
        <v>155</v>
      </c>
      <c r="E656">
        <v>37</v>
      </c>
      <c r="F656">
        <v>25.046348500779416</v>
      </c>
      <c r="G656">
        <v>12.523174250389708</v>
      </c>
      <c r="H656">
        <v>43880</v>
      </c>
    </row>
    <row r="657" spans="1:13" x14ac:dyDescent="0.35">
      <c r="A657" t="s">
        <v>232</v>
      </c>
      <c r="B657" t="s">
        <v>337</v>
      </c>
      <c r="C657" t="s">
        <v>302</v>
      </c>
      <c r="D657" t="s">
        <v>155</v>
      </c>
      <c r="E657">
        <v>3071</v>
      </c>
      <c r="F657">
        <v>4436.5209245576061</v>
      </c>
      <c r="G657" t="s">
        <v>153</v>
      </c>
      <c r="H657">
        <v>43880</v>
      </c>
    </row>
    <row r="658" spans="1:13" x14ac:dyDescent="0.35">
      <c r="A658" t="s">
        <v>326</v>
      </c>
      <c r="B658" t="s">
        <v>337</v>
      </c>
      <c r="C658" t="s">
        <v>302</v>
      </c>
      <c r="D658" t="s">
        <v>155</v>
      </c>
      <c r="E658">
        <v>3035</v>
      </c>
      <c r="F658">
        <v>3275.5726195453808</v>
      </c>
      <c r="G658">
        <v>1637.7863097726904</v>
      </c>
      <c r="H658">
        <v>43880</v>
      </c>
    </row>
    <row r="659" spans="1:13" x14ac:dyDescent="0.35">
      <c r="A659" t="s">
        <v>313</v>
      </c>
      <c r="B659" t="s">
        <v>337</v>
      </c>
      <c r="C659" t="s">
        <v>302</v>
      </c>
      <c r="D659" t="s">
        <v>155</v>
      </c>
      <c r="E659">
        <v>1569</v>
      </c>
      <c r="F659">
        <v>2410.4692410501202</v>
      </c>
      <c r="G659">
        <v>1205.2346205250601</v>
      </c>
      <c r="H659">
        <v>43880</v>
      </c>
    </row>
    <row r="660" spans="1:13" x14ac:dyDescent="0.35">
      <c r="A660" t="s">
        <v>329</v>
      </c>
      <c r="B660" t="s">
        <v>337</v>
      </c>
      <c r="C660" t="s">
        <v>302</v>
      </c>
      <c r="D660" t="s">
        <v>155</v>
      </c>
      <c r="E660">
        <v>580</v>
      </c>
      <c r="F660">
        <v>1780.8071651536341</v>
      </c>
      <c r="G660">
        <v>890.40358257681703</v>
      </c>
      <c r="H660">
        <v>43880</v>
      </c>
      <c r="L660">
        <v>44522</v>
      </c>
    </row>
    <row r="661" spans="1:13" x14ac:dyDescent="0.35">
      <c r="A661" t="s">
        <v>210</v>
      </c>
      <c r="B661" t="s">
        <v>337</v>
      </c>
      <c r="C661" t="s">
        <v>302</v>
      </c>
      <c r="D661" t="s">
        <v>155</v>
      </c>
      <c r="E661">
        <v>4238</v>
      </c>
      <c r="F661">
        <v>4663.456322706169</v>
      </c>
      <c r="G661">
        <v>1399.0368968118503</v>
      </c>
      <c r="H661">
        <v>43880</v>
      </c>
    </row>
    <row r="662" spans="1:13" x14ac:dyDescent="0.35">
      <c r="A662" t="s">
        <v>332</v>
      </c>
      <c r="B662" t="s">
        <v>337</v>
      </c>
      <c r="C662" t="s">
        <v>302</v>
      </c>
      <c r="D662" t="s">
        <v>155</v>
      </c>
      <c r="E662">
        <v>10427</v>
      </c>
      <c r="F662">
        <v>11748.93436699001</v>
      </c>
      <c r="G662">
        <v>4699.5737467960043</v>
      </c>
      <c r="H662">
        <v>43880</v>
      </c>
    </row>
    <row r="663" spans="1:13" x14ac:dyDescent="0.35">
      <c r="A663" t="s">
        <v>314</v>
      </c>
      <c r="B663" t="s">
        <v>337</v>
      </c>
      <c r="C663" t="s">
        <v>302</v>
      </c>
      <c r="D663" t="s">
        <v>155</v>
      </c>
      <c r="E663">
        <v>14859</v>
      </c>
      <c r="F663">
        <v>43951.571875291316</v>
      </c>
      <c r="G663">
        <v>13185.471562587396</v>
      </c>
      <c r="H663">
        <v>43880</v>
      </c>
      <c r="I663">
        <v>43886</v>
      </c>
      <c r="J663">
        <v>43937</v>
      </c>
      <c r="K663" t="s">
        <v>324</v>
      </c>
      <c r="L663">
        <v>44091</v>
      </c>
    </row>
    <row r="664" spans="1:13" x14ac:dyDescent="0.35">
      <c r="A664" t="s">
        <v>30</v>
      </c>
      <c r="B664" t="s">
        <v>337</v>
      </c>
      <c r="C664" t="s">
        <v>302</v>
      </c>
      <c r="D664" t="s">
        <v>155</v>
      </c>
      <c r="E664">
        <v>18890</v>
      </c>
      <c r="F664">
        <v>60737.890667282067</v>
      </c>
      <c r="G664">
        <v>30368.945333641033</v>
      </c>
      <c r="H664">
        <v>43880</v>
      </c>
    </row>
    <row r="665" spans="1:13" x14ac:dyDescent="0.35">
      <c r="A665" t="s">
        <v>213</v>
      </c>
      <c r="B665" t="s">
        <v>337</v>
      </c>
      <c r="C665" t="s">
        <v>302</v>
      </c>
      <c r="D665" t="s">
        <v>155</v>
      </c>
      <c r="E665">
        <v>45</v>
      </c>
      <c r="F665">
        <v>137.83696220521125</v>
      </c>
      <c r="G665">
        <v>41.351088661563367</v>
      </c>
      <c r="H665">
        <v>43880</v>
      </c>
      <c r="L665">
        <v>43989</v>
      </c>
    </row>
    <row r="666" spans="1:13" x14ac:dyDescent="0.35">
      <c r="A666" t="s">
        <v>160</v>
      </c>
      <c r="B666" t="s">
        <v>337</v>
      </c>
      <c r="C666" t="s">
        <v>302</v>
      </c>
      <c r="D666" t="s">
        <v>155</v>
      </c>
      <c r="E666">
        <v>619</v>
      </c>
      <c r="F666">
        <v>1147.9552128185089</v>
      </c>
      <c r="G666" t="s">
        <v>153</v>
      </c>
      <c r="H666">
        <v>43880</v>
      </c>
    </row>
    <row r="667" spans="1:13" x14ac:dyDescent="0.35">
      <c r="A667" t="s">
        <v>120</v>
      </c>
      <c r="B667" t="s">
        <v>337</v>
      </c>
      <c r="C667" t="s">
        <v>302</v>
      </c>
      <c r="D667" t="s">
        <v>155</v>
      </c>
      <c r="E667">
        <v>172358</v>
      </c>
      <c r="F667">
        <v>194188.10824438263</v>
      </c>
      <c r="G667" t="s">
        <v>153</v>
      </c>
      <c r="H667">
        <v>43880</v>
      </c>
    </row>
    <row r="668" spans="1:13" x14ac:dyDescent="0.35">
      <c r="A668" t="s">
        <v>190</v>
      </c>
      <c r="B668" t="s">
        <v>337</v>
      </c>
      <c r="C668" t="s">
        <v>302</v>
      </c>
      <c r="D668" t="s">
        <v>155</v>
      </c>
      <c r="E668">
        <v>5969</v>
      </c>
      <c r="F668">
        <v>7519.1037028858209</v>
      </c>
      <c r="G668">
        <v>3759.5518514429104</v>
      </c>
      <c r="H668">
        <v>43880</v>
      </c>
      <c r="I668">
        <v>43880</v>
      </c>
      <c r="K668" t="s">
        <v>324</v>
      </c>
      <c r="L668">
        <v>44201</v>
      </c>
    </row>
    <row r="669" spans="1:13" x14ac:dyDescent="0.35">
      <c r="A669" t="s">
        <v>162</v>
      </c>
      <c r="B669" t="s">
        <v>337</v>
      </c>
      <c r="C669" t="s">
        <v>302</v>
      </c>
      <c r="D669" t="s">
        <v>155</v>
      </c>
      <c r="E669">
        <v>2231</v>
      </c>
      <c r="F669">
        <v>6038.6397135200805</v>
      </c>
      <c r="G669">
        <v>3623.1838281120481</v>
      </c>
      <c r="H669">
        <v>43880</v>
      </c>
      <c r="I669">
        <v>43881</v>
      </c>
      <c r="J669">
        <v>43937</v>
      </c>
      <c r="K669" t="s">
        <v>324</v>
      </c>
      <c r="L669">
        <v>43989</v>
      </c>
    </row>
    <row r="670" spans="1:13" x14ac:dyDescent="0.35">
      <c r="A670" t="s">
        <v>257</v>
      </c>
      <c r="B670" t="s">
        <v>337</v>
      </c>
      <c r="C670" t="s">
        <v>302</v>
      </c>
      <c r="D670" t="s">
        <v>155</v>
      </c>
      <c r="E670">
        <v>749</v>
      </c>
      <c r="F670">
        <v>381.89795805125453</v>
      </c>
      <c r="G670" t="s">
        <v>153</v>
      </c>
      <c r="H670">
        <v>43880</v>
      </c>
    </row>
    <row r="671" spans="1:13" x14ac:dyDescent="0.35">
      <c r="A671" t="s">
        <v>278</v>
      </c>
      <c r="B671" t="s">
        <v>337</v>
      </c>
      <c r="C671" t="s">
        <v>302</v>
      </c>
      <c r="D671" t="s">
        <v>155</v>
      </c>
      <c r="E671">
        <v>1357</v>
      </c>
      <c r="F671">
        <v>1675.8802350471476</v>
      </c>
      <c r="G671">
        <v>837.9401175235738</v>
      </c>
      <c r="H671">
        <v>43880</v>
      </c>
    </row>
    <row r="672" spans="1:13" x14ac:dyDescent="0.35">
      <c r="A672" t="s">
        <v>283</v>
      </c>
      <c r="B672" t="s">
        <v>337</v>
      </c>
      <c r="C672" t="s">
        <v>302</v>
      </c>
      <c r="D672" t="s">
        <v>155</v>
      </c>
      <c r="E672">
        <v>1068</v>
      </c>
      <c r="F672">
        <v>3651.0135135722653</v>
      </c>
      <c r="G672">
        <v>1825.5067567861327</v>
      </c>
      <c r="H672">
        <v>43880</v>
      </c>
      <c r="I672">
        <v>43880</v>
      </c>
      <c r="J672">
        <v>43937</v>
      </c>
      <c r="K672" t="s">
        <v>324</v>
      </c>
      <c r="L672">
        <v>43987</v>
      </c>
      <c r="M672" t="s">
        <v>340</v>
      </c>
    </row>
    <row r="673" spans="1:12" x14ac:dyDescent="0.35">
      <c r="A673" t="s">
        <v>306</v>
      </c>
      <c r="B673" t="s">
        <v>337</v>
      </c>
      <c r="C673" t="s">
        <v>302</v>
      </c>
      <c r="D673" t="s">
        <v>155</v>
      </c>
      <c r="E673">
        <v>78</v>
      </c>
      <c r="F673">
        <v>316.39378428715469</v>
      </c>
      <c r="G673" t="s">
        <v>153</v>
      </c>
      <c r="H673">
        <v>43880</v>
      </c>
      <c r="I673">
        <v>43880</v>
      </c>
      <c r="J673">
        <v>43937</v>
      </c>
      <c r="K673" t="s">
        <v>324</v>
      </c>
      <c r="L673">
        <v>43987</v>
      </c>
    </row>
    <row r="674" spans="1:12" x14ac:dyDescent="0.35">
      <c r="A674" t="s">
        <v>279</v>
      </c>
      <c r="B674" t="s">
        <v>337</v>
      </c>
      <c r="C674" t="s">
        <v>302</v>
      </c>
      <c r="D674" t="s">
        <v>155</v>
      </c>
      <c r="E674">
        <v>196</v>
      </c>
      <c r="F674">
        <v>240.69014707386606</v>
      </c>
      <c r="G674" t="s">
        <v>153</v>
      </c>
      <c r="H674">
        <v>43880</v>
      </c>
    </row>
    <row r="675" spans="1:12" x14ac:dyDescent="0.35">
      <c r="A675" t="s">
        <v>151</v>
      </c>
      <c r="B675" t="s">
        <v>337</v>
      </c>
      <c r="C675" t="s">
        <v>302</v>
      </c>
      <c r="D675" t="s">
        <v>155</v>
      </c>
      <c r="E675">
        <v>461375</v>
      </c>
      <c r="F675">
        <v>638917.80294413422</v>
      </c>
      <c r="G675">
        <v>383350.68176648207</v>
      </c>
      <c r="H675">
        <v>43880</v>
      </c>
    </row>
    <row r="676" spans="1:12" x14ac:dyDescent="0.35">
      <c r="A676" t="s">
        <v>193</v>
      </c>
      <c r="B676" t="s">
        <v>337</v>
      </c>
      <c r="C676" t="s">
        <v>302</v>
      </c>
      <c r="D676" t="s">
        <v>155</v>
      </c>
      <c r="E676">
        <v>1573</v>
      </c>
      <c r="F676">
        <v>1890.9052280143273</v>
      </c>
      <c r="G676">
        <v>945.45261400716367</v>
      </c>
      <c r="H676">
        <v>43880</v>
      </c>
      <c r="I676">
        <v>43880</v>
      </c>
      <c r="J676">
        <v>43937</v>
      </c>
      <c r="K676" t="s">
        <v>341</v>
      </c>
    </row>
    <row r="677" spans="1:12" x14ac:dyDescent="0.35">
      <c r="A677" t="s">
        <v>215</v>
      </c>
      <c r="B677" t="s">
        <v>337</v>
      </c>
      <c r="C677" t="s">
        <v>302</v>
      </c>
      <c r="D677" t="s">
        <v>155</v>
      </c>
      <c r="E677">
        <v>11</v>
      </c>
      <c r="F677">
        <v>43.986145014199259</v>
      </c>
      <c r="G677">
        <v>21.99307250709963</v>
      </c>
      <c r="H677">
        <v>43880</v>
      </c>
    </row>
    <row r="678" spans="1:12" x14ac:dyDescent="0.35">
      <c r="A678" t="s">
        <v>266</v>
      </c>
      <c r="B678" t="s">
        <v>337</v>
      </c>
      <c r="C678" t="s">
        <v>302</v>
      </c>
      <c r="D678" t="s">
        <v>155</v>
      </c>
      <c r="E678">
        <v>260</v>
      </c>
      <c r="F678">
        <v>948.94250000146724</v>
      </c>
      <c r="G678">
        <v>379.57700000058691</v>
      </c>
      <c r="H678">
        <v>43880</v>
      </c>
    </row>
    <row r="679" spans="1:12" x14ac:dyDescent="0.35">
      <c r="A679" t="s">
        <v>267</v>
      </c>
      <c r="B679" t="s">
        <v>337</v>
      </c>
      <c r="C679" t="s">
        <v>302</v>
      </c>
      <c r="D679" t="s">
        <v>155</v>
      </c>
      <c r="E679">
        <v>76608</v>
      </c>
      <c r="F679">
        <v>116773.1118773428</v>
      </c>
      <c r="G679" t="s">
        <v>153</v>
      </c>
      <c r="H679">
        <v>43880</v>
      </c>
    </row>
    <row r="680" spans="1:12" x14ac:dyDescent="0.35">
      <c r="A680" t="s">
        <v>342</v>
      </c>
      <c r="B680" t="s">
        <v>337</v>
      </c>
      <c r="C680" t="s">
        <v>302</v>
      </c>
      <c r="D680" t="s">
        <v>155</v>
      </c>
      <c r="E680">
        <v>9697</v>
      </c>
      <c r="F680">
        <v>15789.409000888942</v>
      </c>
      <c r="G680" t="s">
        <v>153</v>
      </c>
      <c r="H680">
        <v>43880</v>
      </c>
    </row>
    <row r="681" spans="1:12" x14ac:dyDescent="0.35">
      <c r="A681" t="s">
        <v>186</v>
      </c>
      <c r="B681" t="s">
        <v>337</v>
      </c>
      <c r="C681" t="s">
        <v>302</v>
      </c>
      <c r="D681" t="s">
        <v>155</v>
      </c>
      <c r="E681">
        <v>2489</v>
      </c>
      <c r="F681">
        <v>2750.3384259073546</v>
      </c>
      <c r="G681">
        <v>1375.1692129536773</v>
      </c>
      <c r="H681">
        <v>43880</v>
      </c>
    </row>
    <row r="682" spans="1:12" x14ac:dyDescent="0.35">
      <c r="A682" t="s">
        <v>280</v>
      </c>
      <c r="B682" t="s">
        <v>337</v>
      </c>
      <c r="C682" t="s">
        <v>302</v>
      </c>
      <c r="D682" t="s">
        <v>155</v>
      </c>
      <c r="E682">
        <v>621</v>
      </c>
      <c r="F682">
        <v>2625.9835361527021</v>
      </c>
      <c r="G682">
        <v>1312.991768076351</v>
      </c>
      <c r="H682">
        <v>43880</v>
      </c>
    </row>
    <row r="683" spans="1:12" x14ac:dyDescent="0.35">
      <c r="A683" t="s">
        <v>315</v>
      </c>
      <c r="B683" t="s">
        <v>337</v>
      </c>
      <c r="C683" t="s">
        <v>302</v>
      </c>
      <c r="D683" t="s">
        <v>155</v>
      </c>
      <c r="E683">
        <v>2746143</v>
      </c>
      <c r="F683">
        <v>5042356.3459600043</v>
      </c>
      <c r="G683" t="s">
        <v>153</v>
      </c>
      <c r="H683">
        <v>43880</v>
      </c>
    </row>
    <row r="684" spans="1:12" x14ac:dyDescent="0.35">
      <c r="A684" t="s">
        <v>268</v>
      </c>
      <c r="B684" t="s">
        <v>337</v>
      </c>
      <c r="C684" t="s">
        <v>302</v>
      </c>
      <c r="D684" t="s">
        <v>155</v>
      </c>
      <c r="E684">
        <v>173</v>
      </c>
      <c r="F684">
        <v>546.96809840819549</v>
      </c>
      <c r="G684">
        <v>218.78723936327827</v>
      </c>
      <c r="H684">
        <v>43880</v>
      </c>
      <c r="L684">
        <v>44077</v>
      </c>
    </row>
    <row r="685" spans="1:12" x14ac:dyDescent="0.35">
      <c r="A685" t="s">
        <v>258</v>
      </c>
      <c r="B685" t="s">
        <v>337</v>
      </c>
      <c r="C685" t="s">
        <v>302</v>
      </c>
      <c r="D685" t="s">
        <v>155</v>
      </c>
      <c r="E685">
        <v>39</v>
      </c>
      <c r="F685">
        <v>14.087251792330015</v>
      </c>
      <c r="G685" t="s">
        <v>153</v>
      </c>
      <c r="H685">
        <v>43880</v>
      </c>
    </row>
    <row r="686" spans="1:12" x14ac:dyDescent="0.35">
      <c r="A686" t="s">
        <v>343</v>
      </c>
      <c r="B686" t="s">
        <v>298</v>
      </c>
      <c r="C686" t="s">
        <v>302</v>
      </c>
      <c r="D686" t="s">
        <v>155</v>
      </c>
      <c r="E686">
        <v>205870</v>
      </c>
      <c r="F686">
        <v>138111.66142058509</v>
      </c>
      <c r="G686">
        <v>82866.996852351047</v>
      </c>
    </row>
    <row r="687" spans="1:12" x14ac:dyDescent="0.35">
      <c r="A687" t="s">
        <v>343</v>
      </c>
      <c r="B687" t="s">
        <v>299</v>
      </c>
      <c r="C687" t="s">
        <v>302</v>
      </c>
      <c r="D687" t="s">
        <v>155</v>
      </c>
      <c r="E687">
        <v>281249</v>
      </c>
      <c r="F687">
        <v>892451.73707394057</v>
      </c>
      <c r="G687">
        <v>535471.04224436427</v>
      </c>
    </row>
    <row r="688" spans="1:12" x14ac:dyDescent="0.35">
      <c r="A688" t="s">
        <v>343</v>
      </c>
      <c r="B688" t="s">
        <v>312</v>
      </c>
      <c r="C688" t="s">
        <v>302</v>
      </c>
      <c r="D688" t="s">
        <v>155</v>
      </c>
      <c r="E688">
        <v>354168</v>
      </c>
      <c r="F688">
        <v>679638.22344646929</v>
      </c>
      <c r="G688">
        <v>407782.93406788155</v>
      </c>
    </row>
    <row r="689" spans="1:7" x14ac:dyDescent="0.35">
      <c r="A689" t="s">
        <v>343</v>
      </c>
      <c r="B689" t="s">
        <v>319</v>
      </c>
      <c r="C689" t="s">
        <v>302</v>
      </c>
      <c r="D689" t="s">
        <v>155</v>
      </c>
      <c r="E689">
        <v>600737</v>
      </c>
      <c r="F689">
        <v>885777.94487230666</v>
      </c>
      <c r="G689">
        <v>531466.76692338393</v>
      </c>
    </row>
    <row r="690" spans="1:7" x14ac:dyDescent="0.35">
      <c r="A690" t="s">
        <v>343</v>
      </c>
      <c r="B690" t="s">
        <v>321</v>
      </c>
      <c r="C690" t="s">
        <v>302</v>
      </c>
      <c r="D690" t="s">
        <v>155</v>
      </c>
      <c r="E690">
        <v>716235</v>
      </c>
      <c r="F690">
        <v>792147.65459251788</v>
      </c>
      <c r="G690">
        <v>475288.5927555107</v>
      </c>
    </row>
    <row r="691" spans="1:7" x14ac:dyDescent="0.35">
      <c r="A691" t="s">
        <v>343</v>
      </c>
      <c r="B691" t="s">
        <v>333</v>
      </c>
      <c r="C691" t="s">
        <v>302</v>
      </c>
      <c r="D691" t="s">
        <v>155</v>
      </c>
      <c r="E691">
        <v>280848</v>
      </c>
      <c r="F691">
        <v>533345.1780490583</v>
      </c>
      <c r="G691">
        <v>320007.10682943498</v>
      </c>
    </row>
    <row r="692" spans="1:7" x14ac:dyDescent="0.35">
      <c r="A692" t="s">
        <v>343</v>
      </c>
      <c r="B692" t="s">
        <v>344</v>
      </c>
      <c r="C692" t="s">
        <v>302</v>
      </c>
      <c r="D692" t="s">
        <v>155</v>
      </c>
      <c r="E692">
        <v>295995</v>
      </c>
      <c r="F692">
        <v>717180.8606499508</v>
      </c>
      <c r="G692">
        <v>430308.51638997049</v>
      </c>
    </row>
    <row r="693" spans="1:7" x14ac:dyDescent="0.35">
      <c r="A693" t="s">
        <v>345</v>
      </c>
      <c r="B693" t="s">
        <v>285</v>
      </c>
      <c r="C693" t="s">
        <v>302</v>
      </c>
      <c r="D693" t="s">
        <v>155</v>
      </c>
      <c r="E693">
        <v>220258</v>
      </c>
      <c r="F693">
        <v>368303.26346171502</v>
      </c>
      <c r="G693">
        <v>184151.63173085751</v>
      </c>
    </row>
    <row r="694" spans="1:7" x14ac:dyDescent="0.35">
      <c r="A694" t="s">
        <v>345</v>
      </c>
      <c r="B694" t="s">
        <v>289</v>
      </c>
      <c r="C694" t="s">
        <v>302</v>
      </c>
      <c r="D694" t="s">
        <v>155</v>
      </c>
      <c r="E694">
        <v>534745</v>
      </c>
      <c r="F694">
        <v>371556.70200842823</v>
      </c>
      <c r="G694">
        <v>185778.35100421411</v>
      </c>
    </row>
    <row r="695" spans="1:7" x14ac:dyDescent="0.35">
      <c r="A695" t="s">
        <v>345</v>
      </c>
      <c r="B695" t="s">
        <v>295</v>
      </c>
      <c r="C695" t="s">
        <v>302</v>
      </c>
      <c r="D695" t="s">
        <v>155</v>
      </c>
      <c r="E695">
        <v>454722</v>
      </c>
      <c r="F695">
        <v>523970.21960395284</v>
      </c>
      <c r="G695">
        <v>261985.10980197642</v>
      </c>
    </row>
    <row r="696" spans="1:7" x14ac:dyDescent="0.35">
      <c r="A696" t="s">
        <v>345</v>
      </c>
      <c r="B696" t="s">
        <v>298</v>
      </c>
      <c r="C696" t="s">
        <v>302</v>
      </c>
      <c r="D696" t="s">
        <v>155</v>
      </c>
      <c r="E696">
        <v>497820</v>
      </c>
      <c r="F696">
        <v>662765.08808644686</v>
      </c>
      <c r="G696">
        <v>331228.44105105702</v>
      </c>
    </row>
    <row r="697" spans="1:7" x14ac:dyDescent="0.35">
      <c r="A697" t="s">
        <v>345</v>
      </c>
      <c r="B697" t="s">
        <v>299</v>
      </c>
      <c r="C697" t="s">
        <v>302</v>
      </c>
      <c r="D697" t="s">
        <v>155</v>
      </c>
      <c r="E697">
        <v>448099</v>
      </c>
      <c r="F697">
        <v>1306018.3148625439</v>
      </c>
      <c r="G697">
        <v>653009.15743127197</v>
      </c>
    </row>
    <row r="698" spans="1:7" x14ac:dyDescent="0.35">
      <c r="A698" t="s">
        <v>345</v>
      </c>
      <c r="B698" t="s">
        <v>312</v>
      </c>
      <c r="C698" t="s">
        <v>302</v>
      </c>
      <c r="D698" t="s">
        <v>155</v>
      </c>
      <c r="E698">
        <v>393374</v>
      </c>
      <c r="F698">
        <v>818866.82747028908</v>
      </c>
      <c r="G698">
        <v>409433.41373514454</v>
      </c>
    </row>
    <row r="699" spans="1:7" x14ac:dyDescent="0.35">
      <c r="A699" t="s">
        <v>345</v>
      </c>
      <c r="B699" t="s">
        <v>319</v>
      </c>
      <c r="C699" t="s">
        <v>302</v>
      </c>
      <c r="D699" t="s">
        <v>155</v>
      </c>
      <c r="E699">
        <v>454831</v>
      </c>
      <c r="F699">
        <v>780351.0411231945</v>
      </c>
      <c r="G699">
        <v>390175.52056159725</v>
      </c>
    </row>
    <row r="700" spans="1:7" x14ac:dyDescent="0.35">
      <c r="A700" t="s">
        <v>345</v>
      </c>
      <c r="B700" t="s">
        <v>321</v>
      </c>
      <c r="C700" t="s">
        <v>302</v>
      </c>
      <c r="D700" t="s">
        <v>155</v>
      </c>
      <c r="E700">
        <v>553741</v>
      </c>
      <c r="F700">
        <v>742307.92290115764</v>
      </c>
      <c r="G700">
        <v>371153.96145057882</v>
      </c>
    </row>
    <row r="701" spans="1:7" x14ac:dyDescent="0.35">
      <c r="A701" t="s">
        <v>345</v>
      </c>
      <c r="B701" t="s">
        <v>333</v>
      </c>
      <c r="C701" t="s">
        <v>302</v>
      </c>
      <c r="D701" t="s">
        <v>155</v>
      </c>
      <c r="E701">
        <v>293345</v>
      </c>
      <c r="F701">
        <v>542717.13817027991</v>
      </c>
      <c r="G701">
        <v>271358.56908513996</v>
      </c>
    </row>
    <row r="702" spans="1:7" x14ac:dyDescent="0.35">
      <c r="A702" t="s">
        <v>345</v>
      </c>
      <c r="B702" t="s">
        <v>344</v>
      </c>
      <c r="C702" t="s">
        <v>302</v>
      </c>
      <c r="D702" t="s">
        <v>155</v>
      </c>
      <c r="E702">
        <v>269626</v>
      </c>
      <c r="F702">
        <v>448676.0969014751</v>
      </c>
      <c r="G702">
        <v>224338.04845073755</v>
      </c>
    </row>
    <row r="703" spans="1:7" x14ac:dyDescent="0.35">
      <c r="A703" t="s">
        <v>346</v>
      </c>
      <c r="B703" t="s">
        <v>285</v>
      </c>
      <c r="C703" t="s">
        <v>302</v>
      </c>
      <c r="D703" t="s">
        <v>155</v>
      </c>
      <c r="E703">
        <v>2482</v>
      </c>
      <c r="F703">
        <v>180548.4</v>
      </c>
      <c r="G703">
        <v>115044.78</v>
      </c>
    </row>
    <row r="704" spans="1:7" x14ac:dyDescent="0.35">
      <c r="A704" t="s">
        <v>346</v>
      </c>
      <c r="B704" t="s">
        <v>289</v>
      </c>
      <c r="C704" t="s">
        <v>302</v>
      </c>
      <c r="D704" t="s">
        <v>155</v>
      </c>
      <c r="E704">
        <v>1853</v>
      </c>
      <c r="F704">
        <v>152581.20000000001</v>
      </c>
      <c r="G704">
        <v>101009.58</v>
      </c>
    </row>
    <row r="705" spans="1:12" x14ac:dyDescent="0.35">
      <c r="A705" t="s">
        <v>346</v>
      </c>
      <c r="B705" t="s">
        <v>295</v>
      </c>
      <c r="C705" t="s">
        <v>302</v>
      </c>
      <c r="D705" t="s">
        <v>155</v>
      </c>
      <c r="E705">
        <v>1738</v>
      </c>
      <c r="F705">
        <v>140197.20000000001</v>
      </c>
      <c r="G705">
        <v>92263.38</v>
      </c>
    </row>
    <row r="706" spans="1:12" x14ac:dyDescent="0.35">
      <c r="A706" t="s">
        <v>346</v>
      </c>
      <c r="B706" t="s">
        <v>298</v>
      </c>
      <c r="C706" t="s">
        <v>302</v>
      </c>
      <c r="D706" t="s">
        <v>155</v>
      </c>
      <c r="E706">
        <v>2025</v>
      </c>
      <c r="F706">
        <v>173582.4</v>
      </c>
      <c r="G706">
        <v>116198.0400000001</v>
      </c>
    </row>
    <row r="707" spans="1:12" x14ac:dyDescent="0.35">
      <c r="A707" t="s">
        <v>346</v>
      </c>
      <c r="B707" t="s">
        <v>299</v>
      </c>
      <c r="C707" t="s">
        <v>302</v>
      </c>
      <c r="D707" t="s">
        <v>155</v>
      </c>
      <c r="E707">
        <v>2683</v>
      </c>
      <c r="F707">
        <v>245151.6</v>
      </c>
      <c r="G707">
        <v>166846.02000000048</v>
      </c>
    </row>
    <row r="708" spans="1:12" x14ac:dyDescent="0.35">
      <c r="A708" t="s">
        <v>346</v>
      </c>
      <c r="B708" t="s">
        <v>312</v>
      </c>
      <c r="C708" t="s">
        <v>302</v>
      </c>
      <c r="D708" t="s">
        <v>155</v>
      </c>
      <c r="E708">
        <v>2530</v>
      </c>
      <c r="F708">
        <v>232974.00000000047</v>
      </c>
      <c r="G708">
        <v>158863.50000000049</v>
      </c>
    </row>
    <row r="709" spans="1:12" x14ac:dyDescent="0.35">
      <c r="A709" t="s">
        <v>346</v>
      </c>
      <c r="B709" t="s">
        <v>319</v>
      </c>
      <c r="C709" t="s">
        <v>302</v>
      </c>
      <c r="D709" t="s">
        <v>155</v>
      </c>
      <c r="E709">
        <v>2676</v>
      </c>
      <c r="F709">
        <v>243448.80000000034</v>
      </c>
      <c r="G709">
        <v>165507.00000000029</v>
      </c>
    </row>
    <row r="710" spans="1:12" x14ac:dyDescent="0.35">
      <c r="A710" t="s">
        <v>346</v>
      </c>
      <c r="B710" t="s">
        <v>321</v>
      </c>
      <c r="C710" t="s">
        <v>302</v>
      </c>
      <c r="D710" t="s">
        <v>155</v>
      </c>
      <c r="E710">
        <v>2695</v>
      </c>
      <c r="F710">
        <v>248041.20000000059</v>
      </c>
      <c r="G710">
        <v>169116.42000000074</v>
      </c>
    </row>
    <row r="711" spans="1:12" x14ac:dyDescent="0.35">
      <c r="A711" t="s">
        <v>346</v>
      </c>
      <c r="B711" t="s">
        <v>333</v>
      </c>
      <c r="C711" t="s">
        <v>302</v>
      </c>
      <c r="D711" t="s">
        <v>155</v>
      </c>
      <c r="E711">
        <v>2209</v>
      </c>
      <c r="F711">
        <v>204852</v>
      </c>
      <c r="G711">
        <v>139928.88000000064</v>
      </c>
    </row>
    <row r="712" spans="1:12" x14ac:dyDescent="0.35">
      <c r="A712" t="s">
        <v>346</v>
      </c>
      <c r="B712" t="s">
        <v>344</v>
      </c>
      <c r="C712" t="s">
        <v>302</v>
      </c>
      <c r="D712" t="s">
        <v>155</v>
      </c>
      <c r="E712">
        <v>2206</v>
      </c>
      <c r="F712">
        <v>210166.8</v>
      </c>
      <c r="G712">
        <v>144492.90000000063</v>
      </c>
    </row>
    <row r="713" spans="1:12" x14ac:dyDescent="0.35">
      <c r="A713" t="s">
        <v>219</v>
      </c>
      <c r="B713" t="s">
        <v>333</v>
      </c>
      <c r="C713" t="s">
        <v>296</v>
      </c>
      <c r="D713" t="s">
        <v>155</v>
      </c>
      <c r="E713">
        <v>2</v>
      </c>
      <c r="F713">
        <v>0.20447300374507901</v>
      </c>
      <c r="G713">
        <v>0.10223650187253951</v>
      </c>
      <c r="J713">
        <v>43937</v>
      </c>
      <c r="K713" t="s">
        <v>324</v>
      </c>
      <c r="L713">
        <v>43983</v>
      </c>
    </row>
    <row r="714" spans="1:12" x14ac:dyDescent="0.35">
      <c r="A714" t="s">
        <v>287</v>
      </c>
      <c r="B714" t="s">
        <v>333</v>
      </c>
      <c r="C714" t="s">
        <v>296</v>
      </c>
      <c r="D714" t="s">
        <v>155</v>
      </c>
      <c r="E714">
        <v>6</v>
      </c>
      <c r="F714">
        <v>0.61341910064220406</v>
      </c>
      <c r="G714">
        <v>0.30670955032110203</v>
      </c>
    </row>
    <row r="715" spans="1:12" x14ac:dyDescent="0.35">
      <c r="A715" t="s">
        <v>193</v>
      </c>
      <c r="B715" t="s">
        <v>333</v>
      </c>
      <c r="C715" t="s">
        <v>296</v>
      </c>
      <c r="D715" t="s">
        <v>155</v>
      </c>
      <c r="E715">
        <v>1</v>
      </c>
      <c r="F715">
        <v>0.10223650187254001</v>
      </c>
      <c r="G715">
        <v>5.1118250936270003E-2</v>
      </c>
    </row>
    <row r="716" spans="1:12" x14ac:dyDescent="0.35">
      <c r="A716" t="s">
        <v>266</v>
      </c>
      <c r="B716" t="s">
        <v>333</v>
      </c>
      <c r="C716" t="s">
        <v>296</v>
      </c>
      <c r="D716" t="s">
        <v>155</v>
      </c>
      <c r="E716">
        <v>3</v>
      </c>
      <c r="F716">
        <v>0.306709505617619</v>
      </c>
      <c r="G716">
        <v>0.12268380224704761</v>
      </c>
    </row>
    <row r="717" spans="1:12" x14ac:dyDescent="0.35">
      <c r="A717" t="s">
        <v>219</v>
      </c>
      <c r="B717" t="s">
        <v>344</v>
      </c>
      <c r="C717" t="s">
        <v>296</v>
      </c>
      <c r="D717" t="s">
        <v>155</v>
      </c>
      <c r="E717">
        <v>1</v>
      </c>
      <c r="F717">
        <v>0.100207298994064</v>
      </c>
      <c r="G717">
        <v>5.0103649497031999E-2</v>
      </c>
      <c r="J717">
        <v>43937</v>
      </c>
      <c r="K717" t="s">
        <v>324</v>
      </c>
      <c r="L717">
        <v>43983</v>
      </c>
    </row>
    <row r="718" spans="1:12" x14ac:dyDescent="0.35">
      <c r="A718" t="s">
        <v>287</v>
      </c>
      <c r="B718" t="s">
        <v>344</v>
      </c>
      <c r="C718" t="s">
        <v>296</v>
      </c>
      <c r="D718" t="s">
        <v>155</v>
      </c>
      <c r="E718">
        <v>6</v>
      </c>
      <c r="F718">
        <v>0.60124388337135193</v>
      </c>
      <c r="G718">
        <v>0.30062194168567596</v>
      </c>
    </row>
    <row r="719" spans="1:12" x14ac:dyDescent="0.35">
      <c r="A719" t="s">
        <v>266</v>
      </c>
      <c r="B719" t="s">
        <v>344</v>
      </c>
      <c r="C719" t="s">
        <v>296</v>
      </c>
      <c r="D719" t="s">
        <v>155</v>
      </c>
      <c r="E719">
        <v>2</v>
      </c>
      <c r="F719">
        <v>0.200414597988129</v>
      </c>
      <c r="G719">
        <v>8.0165839195251609E-2</v>
      </c>
    </row>
    <row r="720" spans="1:12" x14ac:dyDescent="0.35">
      <c r="A720" t="s">
        <v>347</v>
      </c>
      <c r="B720" t="s">
        <v>348</v>
      </c>
      <c r="C720" t="s">
        <v>302</v>
      </c>
      <c r="D720" t="s">
        <v>155</v>
      </c>
      <c r="E720">
        <v>2982</v>
      </c>
      <c r="F720">
        <v>2654.6224689047681</v>
      </c>
      <c r="G720">
        <v>796.38674067143052</v>
      </c>
    </row>
    <row r="721" spans="1:12" x14ac:dyDescent="0.35">
      <c r="A721" t="s">
        <v>349</v>
      </c>
      <c r="B721" t="s">
        <v>350</v>
      </c>
      <c r="C721" t="s">
        <v>302</v>
      </c>
      <c r="D721" t="s">
        <v>155</v>
      </c>
      <c r="E721">
        <v>800</v>
      </c>
      <c r="F721">
        <v>828.33597481398647</v>
      </c>
      <c r="G721">
        <v>331.33438992559462</v>
      </c>
    </row>
    <row r="722" spans="1:12" x14ac:dyDescent="0.35">
      <c r="A722" t="s">
        <v>219</v>
      </c>
      <c r="B722" t="s">
        <v>351</v>
      </c>
      <c r="C722" t="s">
        <v>246</v>
      </c>
      <c r="D722" t="s">
        <v>155</v>
      </c>
      <c r="E722">
        <v>16022</v>
      </c>
      <c r="F722" t="s">
        <v>153</v>
      </c>
      <c r="G722">
        <v>1361.9370451362145</v>
      </c>
      <c r="H722">
        <v>43913</v>
      </c>
      <c r="I722">
        <v>43945</v>
      </c>
      <c r="J722">
        <v>43937</v>
      </c>
      <c r="K722" t="s">
        <v>324</v>
      </c>
      <c r="L722">
        <v>43983</v>
      </c>
    </row>
    <row r="723" spans="1:12" x14ac:dyDescent="0.35">
      <c r="A723" t="s">
        <v>223</v>
      </c>
      <c r="B723" t="s">
        <v>351</v>
      </c>
      <c r="C723" t="s">
        <v>246</v>
      </c>
      <c r="D723" t="s">
        <v>155</v>
      </c>
      <c r="E723">
        <v>67</v>
      </c>
      <c r="F723" t="s">
        <v>153</v>
      </c>
      <c r="G723">
        <v>5.6494767347283901</v>
      </c>
      <c r="H723">
        <v>43913</v>
      </c>
      <c r="I723">
        <v>43945</v>
      </c>
    </row>
    <row r="724" spans="1:12" x14ac:dyDescent="0.35">
      <c r="A724" t="s">
        <v>287</v>
      </c>
      <c r="B724" t="s">
        <v>351</v>
      </c>
      <c r="C724" t="s">
        <v>246</v>
      </c>
      <c r="D724" t="s">
        <v>155</v>
      </c>
      <c r="E724">
        <v>182</v>
      </c>
      <c r="F724" t="s">
        <v>153</v>
      </c>
      <c r="G724">
        <v>8.1249534694567807</v>
      </c>
      <c r="H724">
        <v>43913</v>
      </c>
      <c r="I724">
        <v>43945</v>
      </c>
    </row>
    <row r="725" spans="1:12" x14ac:dyDescent="0.35">
      <c r="A725" t="s">
        <v>193</v>
      </c>
      <c r="B725" t="s">
        <v>351</v>
      </c>
      <c r="C725" t="s">
        <v>246</v>
      </c>
      <c r="D725" t="s">
        <v>155</v>
      </c>
      <c r="E725">
        <v>144</v>
      </c>
      <c r="F725" t="s">
        <v>153</v>
      </c>
      <c r="G725">
        <v>12.223313935924153</v>
      </c>
      <c r="H725">
        <v>43913</v>
      </c>
      <c r="I725">
        <v>43945</v>
      </c>
      <c r="J725">
        <v>43937</v>
      </c>
      <c r="K725" t="s">
        <v>341</v>
      </c>
    </row>
    <row r="726" spans="1:12" x14ac:dyDescent="0.35">
      <c r="A726" t="s">
        <v>266</v>
      </c>
      <c r="B726" t="s">
        <v>351</v>
      </c>
      <c r="C726" t="s">
        <v>246</v>
      </c>
      <c r="D726" t="s">
        <v>155</v>
      </c>
      <c r="E726">
        <v>768</v>
      </c>
      <c r="F726" t="s">
        <v>153</v>
      </c>
      <c r="G726">
        <v>65.190476618534348</v>
      </c>
      <c r="H726">
        <v>43913</v>
      </c>
      <c r="I726">
        <v>43945</v>
      </c>
    </row>
    <row r="727" spans="1:12" x14ac:dyDescent="0.35">
      <c r="A727" t="s">
        <v>219</v>
      </c>
      <c r="B727" t="s">
        <v>352</v>
      </c>
      <c r="C727" t="s">
        <v>296</v>
      </c>
      <c r="D727" t="s">
        <v>155</v>
      </c>
      <c r="E727">
        <v>1</v>
      </c>
      <c r="F727">
        <v>0.10069879889488199</v>
      </c>
      <c r="G727">
        <v>5.0349399447440997E-2</v>
      </c>
      <c r="H727">
        <v>43917</v>
      </c>
      <c r="I727">
        <v>43945</v>
      </c>
      <c r="J727">
        <v>43937</v>
      </c>
      <c r="K727" t="s">
        <v>324</v>
      </c>
      <c r="L727">
        <v>43983</v>
      </c>
    </row>
    <row r="728" spans="1:12" x14ac:dyDescent="0.35">
      <c r="A728" t="s">
        <v>287</v>
      </c>
      <c r="B728" t="s">
        <v>352</v>
      </c>
      <c r="C728" t="s">
        <v>296</v>
      </c>
      <c r="D728" t="s">
        <v>155</v>
      </c>
      <c r="E728">
        <v>17</v>
      </c>
      <c r="F728">
        <v>1.7118802070617671</v>
      </c>
      <c r="G728">
        <v>0.85594010353088357</v>
      </c>
      <c r="H728">
        <v>43917</v>
      </c>
      <c r="I728">
        <v>43945</v>
      </c>
    </row>
    <row r="729" spans="1:12" x14ac:dyDescent="0.35">
      <c r="A729" t="s">
        <v>219</v>
      </c>
      <c r="B729" t="s">
        <v>353</v>
      </c>
      <c r="C729" t="s">
        <v>296</v>
      </c>
      <c r="D729" t="s">
        <v>155</v>
      </c>
      <c r="E729">
        <v>1</v>
      </c>
      <c r="F729">
        <v>0.10801900178194</v>
      </c>
      <c r="G729">
        <v>5.4009500890970001E-2</v>
      </c>
      <c r="H729">
        <v>43944</v>
      </c>
      <c r="I729">
        <v>43945</v>
      </c>
      <c r="L729">
        <v>43983</v>
      </c>
    </row>
    <row r="730" spans="1:12" x14ac:dyDescent="0.35">
      <c r="A730" t="s">
        <v>287</v>
      </c>
      <c r="B730" t="s">
        <v>353</v>
      </c>
      <c r="C730" t="s">
        <v>296</v>
      </c>
      <c r="D730" t="s">
        <v>155</v>
      </c>
      <c r="E730">
        <v>8</v>
      </c>
      <c r="F730">
        <v>0.86415181308984801</v>
      </c>
      <c r="G730">
        <v>0.432075906544924</v>
      </c>
      <c r="H730">
        <v>43944</v>
      </c>
      <c r="I730">
        <v>43945</v>
      </c>
    </row>
    <row r="731" spans="1:12" x14ac:dyDescent="0.35">
      <c r="A731" t="s">
        <v>266</v>
      </c>
      <c r="B731" t="s">
        <v>353</v>
      </c>
      <c r="C731" t="s">
        <v>296</v>
      </c>
      <c r="D731" t="s">
        <v>155</v>
      </c>
      <c r="E731">
        <v>5</v>
      </c>
      <c r="F731">
        <v>0.54009488970041197</v>
      </c>
      <c r="G731">
        <v>0.21603795588016483</v>
      </c>
      <c r="H731">
        <v>43944</v>
      </c>
      <c r="I731">
        <v>43945</v>
      </c>
    </row>
    <row r="732" spans="1:12" x14ac:dyDescent="0.35">
      <c r="A732" t="s">
        <v>219</v>
      </c>
      <c r="B732" t="s">
        <v>321</v>
      </c>
      <c r="C732" t="s">
        <v>290</v>
      </c>
      <c r="D732" t="s">
        <v>155</v>
      </c>
      <c r="E732">
        <v>385</v>
      </c>
      <c r="F732">
        <v>27.655041030155218</v>
      </c>
      <c r="G732">
        <v>13.827520515077609</v>
      </c>
      <c r="H732">
        <v>43879</v>
      </c>
      <c r="I732">
        <v>43879</v>
      </c>
      <c r="J732">
        <v>43937</v>
      </c>
      <c r="K732" t="s">
        <v>324</v>
      </c>
      <c r="L732">
        <v>43983</v>
      </c>
    </row>
    <row r="733" spans="1:12" x14ac:dyDescent="0.35">
      <c r="A733" t="s">
        <v>287</v>
      </c>
      <c r="B733" t="s">
        <v>321</v>
      </c>
      <c r="C733" t="s">
        <v>290</v>
      </c>
      <c r="D733" t="s">
        <v>155</v>
      </c>
      <c r="E733">
        <v>241</v>
      </c>
      <c r="F733">
        <v>17.311337372123141</v>
      </c>
      <c r="G733">
        <v>8.6556686860615706</v>
      </c>
      <c r="H733">
        <v>43879</v>
      </c>
    </row>
    <row r="734" spans="1:12" x14ac:dyDescent="0.35">
      <c r="A734" t="s">
        <v>266</v>
      </c>
      <c r="B734" t="s">
        <v>321</v>
      </c>
      <c r="C734" t="s">
        <v>290</v>
      </c>
      <c r="D734" t="s">
        <v>155</v>
      </c>
      <c r="E734">
        <v>1023</v>
      </c>
      <c r="F734">
        <v>73.483394737269592</v>
      </c>
      <c r="G734">
        <v>29.393357894907837</v>
      </c>
      <c r="H734">
        <v>43879</v>
      </c>
      <c r="J734">
        <v>43937</v>
      </c>
      <c r="K734" t="s">
        <v>324</v>
      </c>
    </row>
    <row r="735" spans="1:12" x14ac:dyDescent="0.35">
      <c r="A735" t="s">
        <v>219</v>
      </c>
      <c r="B735" t="s">
        <v>344</v>
      </c>
      <c r="C735" t="s">
        <v>236</v>
      </c>
      <c r="D735" t="s">
        <v>155</v>
      </c>
      <c r="E735">
        <v>55</v>
      </c>
      <c r="F735">
        <v>2.156198752597863</v>
      </c>
      <c r="G735">
        <v>1.0780993762989315</v>
      </c>
      <c r="H735">
        <v>43887</v>
      </c>
      <c r="I735">
        <v>43887</v>
      </c>
      <c r="J735">
        <v>43937</v>
      </c>
      <c r="K735" t="s">
        <v>324</v>
      </c>
      <c r="L735">
        <v>43983</v>
      </c>
    </row>
    <row r="736" spans="1:12" x14ac:dyDescent="0.35">
      <c r="A736" t="s">
        <v>223</v>
      </c>
      <c r="B736" t="s">
        <v>344</v>
      </c>
      <c r="C736" t="s">
        <v>236</v>
      </c>
      <c r="D736" t="s">
        <v>155</v>
      </c>
      <c r="E736">
        <v>50</v>
      </c>
      <c r="F736">
        <v>1.9701308399371336</v>
      </c>
      <c r="G736">
        <v>0.98506541996856678</v>
      </c>
      <c r="H736">
        <v>43887</v>
      </c>
    </row>
    <row r="737" spans="1:12" x14ac:dyDescent="0.35">
      <c r="A737" t="s">
        <v>287</v>
      </c>
      <c r="B737" t="s">
        <v>344</v>
      </c>
      <c r="C737" t="s">
        <v>236</v>
      </c>
      <c r="D737" t="s">
        <v>155</v>
      </c>
      <c r="E737">
        <v>163</v>
      </c>
      <c r="F737">
        <v>6.5014317717925438</v>
      </c>
      <c r="G737">
        <v>3.2507158858962719</v>
      </c>
      <c r="H737">
        <v>43887</v>
      </c>
    </row>
    <row r="738" spans="1:12" x14ac:dyDescent="0.35">
      <c r="A738" t="s">
        <v>288</v>
      </c>
      <c r="B738" t="s">
        <v>344</v>
      </c>
      <c r="C738" t="s">
        <v>236</v>
      </c>
      <c r="D738" t="s">
        <v>155</v>
      </c>
      <c r="E738">
        <v>29</v>
      </c>
      <c r="F738">
        <v>1.1601881612963119</v>
      </c>
      <c r="G738">
        <v>0.58009408064815593</v>
      </c>
      <c r="H738">
        <v>43887</v>
      </c>
    </row>
    <row r="739" spans="1:12" x14ac:dyDescent="0.35">
      <c r="A739" t="s">
        <v>193</v>
      </c>
      <c r="B739" t="s">
        <v>344</v>
      </c>
      <c r="C739" t="s">
        <v>236</v>
      </c>
      <c r="D739" t="s">
        <v>155</v>
      </c>
      <c r="E739">
        <v>166</v>
      </c>
      <c r="F739">
        <v>6.7093900271192348</v>
      </c>
      <c r="G739">
        <v>3.3546950135596174</v>
      </c>
      <c r="H739">
        <v>43887</v>
      </c>
      <c r="I739">
        <v>43887</v>
      </c>
      <c r="J739">
        <v>43937</v>
      </c>
      <c r="K739" t="s">
        <v>341</v>
      </c>
    </row>
    <row r="740" spans="1:12" x14ac:dyDescent="0.35">
      <c r="A740" t="s">
        <v>266</v>
      </c>
      <c r="B740" t="s">
        <v>344</v>
      </c>
      <c r="C740" t="s">
        <v>236</v>
      </c>
      <c r="D740" t="s">
        <v>155</v>
      </c>
      <c r="E740">
        <v>37</v>
      </c>
      <c r="F740">
        <v>1.466652958619868</v>
      </c>
      <c r="G740">
        <v>0.58666118344794727</v>
      </c>
      <c r="H740">
        <v>43887</v>
      </c>
    </row>
    <row r="741" spans="1:12" x14ac:dyDescent="0.35">
      <c r="A741" t="s">
        <v>266</v>
      </c>
      <c r="B741" t="s">
        <v>344</v>
      </c>
      <c r="C741" t="s">
        <v>173</v>
      </c>
      <c r="D741" t="s">
        <v>243</v>
      </c>
      <c r="E741">
        <v>21</v>
      </c>
      <c r="F741">
        <v>4.4099998474121103</v>
      </c>
      <c r="G741">
        <v>1.7639999389648442</v>
      </c>
      <c r="H741">
        <v>43892</v>
      </c>
    </row>
    <row r="742" spans="1:12" x14ac:dyDescent="0.35">
      <c r="A742" t="s">
        <v>219</v>
      </c>
      <c r="B742" t="s">
        <v>333</v>
      </c>
      <c r="C742" t="s">
        <v>290</v>
      </c>
      <c r="D742" t="s">
        <v>155</v>
      </c>
      <c r="E742">
        <v>329</v>
      </c>
      <c r="F742">
        <v>17.505721590980983</v>
      </c>
      <c r="G742">
        <v>8.7528607954904913</v>
      </c>
      <c r="H742">
        <v>43899</v>
      </c>
      <c r="I742">
        <v>43899</v>
      </c>
      <c r="J742">
        <v>43937</v>
      </c>
      <c r="K742" t="s">
        <v>324</v>
      </c>
      <c r="L742">
        <v>43983</v>
      </c>
    </row>
    <row r="743" spans="1:12" x14ac:dyDescent="0.35">
      <c r="A743" t="s">
        <v>287</v>
      </c>
      <c r="B743" t="s">
        <v>333</v>
      </c>
      <c r="C743" t="s">
        <v>290</v>
      </c>
      <c r="D743" t="s">
        <v>155</v>
      </c>
      <c r="E743">
        <v>289</v>
      </c>
      <c r="F743">
        <v>15.377366382351079</v>
      </c>
      <c r="G743">
        <v>7.6886831911755396</v>
      </c>
      <c r="H743">
        <v>43899</v>
      </c>
    </row>
    <row r="744" spans="1:12" x14ac:dyDescent="0.35">
      <c r="A744" t="s">
        <v>266</v>
      </c>
      <c r="B744" t="s">
        <v>333</v>
      </c>
      <c r="C744" t="s">
        <v>290</v>
      </c>
      <c r="D744" t="s">
        <v>155</v>
      </c>
      <c r="E744">
        <v>951</v>
      </c>
      <c r="F744">
        <v>50.601645085176038</v>
      </c>
      <c r="G744">
        <v>20.240658034070417</v>
      </c>
      <c r="H744">
        <v>43899</v>
      </c>
    </row>
    <row r="745" spans="1:12" x14ac:dyDescent="0.35">
      <c r="A745" t="s">
        <v>219</v>
      </c>
      <c r="B745" t="s">
        <v>333</v>
      </c>
      <c r="C745" t="s">
        <v>240</v>
      </c>
      <c r="D745" t="s">
        <v>155</v>
      </c>
      <c r="E745">
        <v>4</v>
      </c>
      <c r="F745">
        <v>0.72415726184844698</v>
      </c>
      <c r="G745">
        <v>0.36207863092422349</v>
      </c>
      <c r="H745">
        <v>43908</v>
      </c>
      <c r="I745">
        <v>43908</v>
      </c>
      <c r="J745">
        <v>43937</v>
      </c>
      <c r="K745" t="s">
        <v>324</v>
      </c>
      <c r="L745">
        <v>43983</v>
      </c>
    </row>
    <row r="746" spans="1:12" x14ac:dyDescent="0.35">
      <c r="A746" t="s">
        <v>287</v>
      </c>
      <c r="B746" t="s">
        <v>333</v>
      </c>
      <c r="C746" t="s">
        <v>240</v>
      </c>
      <c r="D746" t="s">
        <v>155</v>
      </c>
      <c r="E746">
        <v>12</v>
      </c>
      <c r="F746">
        <v>2.5345503538846956</v>
      </c>
      <c r="G746">
        <v>1.2672751769423478</v>
      </c>
      <c r="H746">
        <v>43908</v>
      </c>
    </row>
    <row r="747" spans="1:12" x14ac:dyDescent="0.35">
      <c r="A747" t="s">
        <v>266</v>
      </c>
      <c r="B747" t="s">
        <v>333</v>
      </c>
      <c r="C747" t="s">
        <v>240</v>
      </c>
      <c r="D747" t="s">
        <v>155</v>
      </c>
      <c r="E747">
        <v>1</v>
      </c>
      <c r="F747">
        <v>0.18103931546211247</v>
      </c>
      <c r="G747">
        <v>7.2415726184844986E-2</v>
      </c>
      <c r="H747">
        <v>43908</v>
      </c>
    </row>
    <row r="748" spans="1:12" x14ac:dyDescent="0.35">
      <c r="A748" t="s">
        <v>219</v>
      </c>
      <c r="B748" t="s">
        <v>344</v>
      </c>
      <c r="C748" t="s">
        <v>240</v>
      </c>
      <c r="D748" t="s">
        <v>155</v>
      </c>
      <c r="E748">
        <v>3</v>
      </c>
      <c r="F748">
        <v>0.65340697765350408</v>
      </c>
      <c r="G748">
        <v>0.32670348882675204</v>
      </c>
      <c r="H748">
        <v>43914</v>
      </c>
      <c r="I748">
        <v>43914</v>
      </c>
      <c r="J748">
        <v>43937</v>
      </c>
      <c r="K748" t="s">
        <v>324</v>
      </c>
      <c r="L748">
        <v>43983</v>
      </c>
    </row>
    <row r="749" spans="1:12" x14ac:dyDescent="0.35">
      <c r="A749" t="s">
        <v>287</v>
      </c>
      <c r="B749" t="s">
        <v>344</v>
      </c>
      <c r="C749" t="s">
        <v>240</v>
      </c>
      <c r="D749" t="s">
        <v>155</v>
      </c>
      <c r="E749">
        <v>6</v>
      </c>
      <c r="F749">
        <v>0.95497949123382497</v>
      </c>
      <c r="G749">
        <v>0.47748974561691249</v>
      </c>
      <c r="H749">
        <v>43914</v>
      </c>
    </row>
    <row r="750" spans="1:12" x14ac:dyDescent="0.35">
      <c r="A750" t="s">
        <v>266</v>
      </c>
      <c r="B750" t="s">
        <v>344</v>
      </c>
      <c r="C750" t="s">
        <v>240</v>
      </c>
      <c r="D750" t="s">
        <v>155</v>
      </c>
      <c r="E750">
        <v>1</v>
      </c>
      <c r="F750">
        <v>0.20104832649231003</v>
      </c>
      <c r="G750">
        <v>8.0419330596924021E-2</v>
      </c>
      <c r="H750">
        <v>43914</v>
      </c>
    </row>
    <row r="751" spans="1:12" x14ac:dyDescent="0.35">
      <c r="A751" t="s">
        <v>219</v>
      </c>
      <c r="B751" t="s">
        <v>352</v>
      </c>
      <c r="C751" t="s">
        <v>236</v>
      </c>
      <c r="D751" t="s">
        <v>155</v>
      </c>
      <c r="E751">
        <v>51</v>
      </c>
      <c r="F751">
        <v>2.1121045500776039</v>
      </c>
      <c r="G751">
        <v>1.0560522750388019</v>
      </c>
      <c r="H751">
        <v>43917</v>
      </c>
      <c r="I751">
        <v>43917</v>
      </c>
      <c r="J751">
        <v>43937</v>
      </c>
      <c r="K751" t="s">
        <v>324</v>
      </c>
      <c r="L751">
        <v>43983</v>
      </c>
    </row>
    <row r="752" spans="1:12" x14ac:dyDescent="0.35">
      <c r="A752" t="s">
        <v>223</v>
      </c>
      <c r="B752" t="s">
        <v>352</v>
      </c>
      <c r="C752" t="s">
        <v>236</v>
      </c>
      <c r="D752" t="s">
        <v>155</v>
      </c>
      <c r="E752">
        <v>68</v>
      </c>
      <c r="F752">
        <v>2.8848257269352642</v>
      </c>
      <c r="G752">
        <v>1.4424128634676321</v>
      </c>
      <c r="H752">
        <v>43917</v>
      </c>
    </row>
    <row r="753" spans="1:12" x14ac:dyDescent="0.35">
      <c r="A753" t="s">
        <v>287</v>
      </c>
      <c r="B753" t="s">
        <v>352</v>
      </c>
      <c r="C753" t="s">
        <v>236</v>
      </c>
      <c r="D753" t="s">
        <v>155</v>
      </c>
      <c r="E753">
        <v>191</v>
      </c>
      <c r="F753">
        <v>8.0620576118816007</v>
      </c>
      <c r="G753">
        <v>4.0310288059408004</v>
      </c>
      <c r="H753">
        <v>43917</v>
      </c>
    </row>
    <row r="754" spans="1:12" x14ac:dyDescent="0.35">
      <c r="A754" t="s">
        <v>193</v>
      </c>
      <c r="B754" t="s">
        <v>352</v>
      </c>
      <c r="C754" t="s">
        <v>236</v>
      </c>
      <c r="D754" t="s">
        <v>155</v>
      </c>
      <c r="E754">
        <v>132</v>
      </c>
      <c r="F754">
        <v>5.6279859047799592</v>
      </c>
      <c r="G754">
        <v>2.8139929523899796</v>
      </c>
      <c r="H754">
        <v>43917</v>
      </c>
      <c r="I754">
        <v>43917</v>
      </c>
      <c r="J754">
        <v>43937</v>
      </c>
      <c r="K754" t="s">
        <v>341</v>
      </c>
    </row>
    <row r="755" spans="1:12" x14ac:dyDescent="0.35">
      <c r="A755" t="s">
        <v>266</v>
      </c>
      <c r="B755" t="s">
        <v>352</v>
      </c>
      <c r="C755" t="s">
        <v>236</v>
      </c>
      <c r="D755" t="s">
        <v>155</v>
      </c>
      <c r="E755">
        <v>11</v>
      </c>
      <c r="F755">
        <v>0.39923927470979104</v>
      </c>
      <c r="G755">
        <v>0.1596957098839164</v>
      </c>
      <c r="H755">
        <v>43917</v>
      </c>
    </row>
    <row r="756" spans="1:12" x14ac:dyDescent="0.35">
      <c r="A756" t="s">
        <v>266</v>
      </c>
      <c r="B756" t="s">
        <v>352</v>
      </c>
      <c r="C756" t="s">
        <v>173</v>
      </c>
      <c r="D756" t="s">
        <v>243</v>
      </c>
      <c r="E756">
        <v>20</v>
      </c>
      <c r="F756">
        <v>4.1999998092651403</v>
      </c>
      <c r="G756">
        <v>1.6799999237060561</v>
      </c>
      <c r="H756">
        <v>43920</v>
      </c>
    </row>
    <row r="757" spans="1:12" x14ac:dyDescent="0.35">
      <c r="A757" t="s">
        <v>219</v>
      </c>
      <c r="B757" t="s">
        <v>344</v>
      </c>
      <c r="C757" t="s">
        <v>290</v>
      </c>
      <c r="D757" t="s">
        <v>155</v>
      </c>
      <c r="E757">
        <v>184</v>
      </c>
      <c r="F757">
        <v>8.2713634177329745</v>
      </c>
      <c r="G757">
        <v>4.1356817088664872</v>
      </c>
      <c r="H757">
        <v>43924</v>
      </c>
      <c r="I757">
        <v>43924</v>
      </c>
      <c r="J757">
        <v>43937</v>
      </c>
      <c r="K757" t="s">
        <v>324</v>
      </c>
      <c r="L757">
        <v>43983</v>
      </c>
    </row>
    <row r="758" spans="1:12" x14ac:dyDescent="0.35">
      <c r="A758" t="s">
        <v>287</v>
      </c>
      <c r="B758" t="s">
        <v>344</v>
      </c>
      <c r="C758" t="s">
        <v>290</v>
      </c>
      <c r="D758" t="s">
        <v>155</v>
      </c>
      <c r="E758">
        <v>191</v>
      </c>
      <c r="F758">
        <v>8.5860348521032517</v>
      </c>
      <c r="G758">
        <v>4.2930174260516258</v>
      </c>
      <c r="H758">
        <v>43924</v>
      </c>
    </row>
    <row r="759" spans="1:12" x14ac:dyDescent="0.35">
      <c r="A759" t="s">
        <v>266</v>
      </c>
      <c r="B759" t="s">
        <v>344</v>
      </c>
      <c r="C759" t="s">
        <v>290</v>
      </c>
      <c r="D759" t="s">
        <v>155</v>
      </c>
      <c r="E759">
        <v>1349</v>
      </c>
      <c r="F759">
        <v>60.641680709357516</v>
      </c>
      <c r="G759">
        <v>24.256672283743008</v>
      </c>
      <c r="H759">
        <v>43924</v>
      </c>
    </row>
    <row r="760" spans="1:12" x14ac:dyDescent="0.35">
      <c r="A760" t="s">
        <v>219</v>
      </c>
      <c r="B760" t="s">
        <v>352</v>
      </c>
      <c r="C760" t="s">
        <v>240</v>
      </c>
      <c r="D760" t="s">
        <v>155</v>
      </c>
      <c r="E760">
        <v>3</v>
      </c>
      <c r="F760">
        <v>0.58228440210223276</v>
      </c>
      <c r="G760">
        <v>0.29114220105111638</v>
      </c>
      <c r="H760">
        <v>43924</v>
      </c>
      <c r="I760">
        <v>43924</v>
      </c>
      <c r="J760">
        <v>43937</v>
      </c>
      <c r="K760" t="s">
        <v>324</v>
      </c>
      <c r="L760">
        <v>43983</v>
      </c>
    </row>
    <row r="761" spans="1:12" x14ac:dyDescent="0.35">
      <c r="A761" t="s">
        <v>287</v>
      </c>
      <c r="B761" t="s">
        <v>352</v>
      </c>
      <c r="C761" t="s">
        <v>240</v>
      </c>
      <c r="D761" t="s">
        <v>155</v>
      </c>
      <c r="E761">
        <v>7</v>
      </c>
      <c r="F761">
        <v>1.3974827192723736</v>
      </c>
      <c r="G761">
        <v>0.69874135963618678</v>
      </c>
      <c r="H761">
        <v>43924</v>
      </c>
    </row>
    <row r="762" spans="1:12" x14ac:dyDescent="0.35">
      <c r="A762" t="s">
        <v>266</v>
      </c>
      <c r="B762" t="s">
        <v>352</v>
      </c>
      <c r="C762" t="s">
        <v>240</v>
      </c>
      <c r="D762" t="s">
        <v>155</v>
      </c>
      <c r="E762">
        <v>2</v>
      </c>
      <c r="F762">
        <v>0.46582756191491997</v>
      </c>
      <c r="G762">
        <v>0.186331024765968</v>
      </c>
      <c r="H762">
        <v>43924</v>
      </c>
    </row>
    <row r="763" spans="1:12" x14ac:dyDescent="0.35">
      <c r="A763" t="s">
        <v>219</v>
      </c>
      <c r="B763" t="s">
        <v>354</v>
      </c>
      <c r="C763" t="s">
        <v>250</v>
      </c>
      <c r="D763" t="s">
        <v>155</v>
      </c>
      <c r="E763">
        <v>227</v>
      </c>
      <c r="F763">
        <v>21.570410743355733</v>
      </c>
      <c r="G763">
        <v>10.785205371677867</v>
      </c>
      <c r="H763">
        <v>43934</v>
      </c>
      <c r="I763">
        <v>43934</v>
      </c>
    </row>
    <row r="764" spans="1:12" x14ac:dyDescent="0.35">
      <c r="A764" t="s">
        <v>287</v>
      </c>
      <c r="B764" t="s">
        <v>354</v>
      </c>
      <c r="C764" t="s">
        <v>250</v>
      </c>
      <c r="D764" t="s">
        <v>155</v>
      </c>
      <c r="E764">
        <v>299</v>
      </c>
      <c r="F764">
        <v>27.362047544866797</v>
      </c>
      <c r="G764">
        <v>13.681023772433399</v>
      </c>
      <c r="H764">
        <v>43934</v>
      </c>
      <c r="I764">
        <v>43934</v>
      </c>
    </row>
    <row r="765" spans="1:12" x14ac:dyDescent="0.35">
      <c r="A765" t="s">
        <v>230</v>
      </c>
      <c r="B765" t="s">
        <v>354</v>
      </c>
      <c r="C765" t="s">
        <v>250</v>
      </c>
      <c r="D765" t="s">
        <v>155</v>
      </c>
      <c r="E765">
        <v>10</v>
      </c>
      <c r="F765">
        <v>0.93235337883234193</v>
      </c>
      <c r="G765">
        <v>0.46617668941617096</v>
      </c>
      <c r="H765">
        <v>43934</v>
      </c>
    </row>
    <row r="766" spans="1:12" x14ac:dyDescent="0.35">
      <c r="A766" t="s">
        <v>288</v>
      </c>
      <c r="B766" t="s">
        <v>354</v>
      </c>
      <c r="C766" t="s">
        <v>250</v>
      </c>
      <c r="D766" t="s">
        <v>155</v>
      </c>
      <c r="E766">
        <v>9</v>
      </c>
      <c r="F766">
        <v>0.776130788773298</v>
      </c>
      <c r="G766">
        <v>0.388065394386649</v>
      </c>
      <c r="H766">
        <v>43934</v>
      </c>
    </row>
    <row r="767" spans="1:12" x14ac:dyDescent="0.35">
      <c r="A767" t="s">
        <v>193</v>
      </c>
      <c r="B767" t="s">
        <v>354</v>
      </c>
      <c r="C767" t="s">
        <v>250</v>
      </c>
      <c r="D767" t="s">
        <v>155</v>
      </c>
      <c r="E767">
        <v>7</v>
      </c>
      <c r="F767">
        <v>0.52845581844449041</v>
      </c>
      <c r="G767">
        <v>0.26422790922224521</v>
      </c>
      <c r="H767">
        <v>43934</v>
      </c>
    </row>
    <row r="768" spans="1:12" x14ac:dyDescent="0.35">
      <c r="A768" t="s">
        <v>266</v>
      </c>
      <c r="B768" t="s">
        <v>354</v>
      </c>
      <c r="C768" t="s">
        <v>250</v>
      </c>
      <c r="D768" t="s">
        <v>155</v>
      </c>
      <c r="E768">
        <v>188</v>
      </c>
      <c r="F768">
        <v>17.24188808500767</v>
      </c>
      <c r="G768">
        <v>6.8967552340030682</v>
      </c>
      <c r="H768">
        <v>43934</v>
      </c>
    </row>
    <row r="769" spans="1:12" x14ac:dyDescent="0.35">
      <c r="A769" t="s">
        <v>219</v>
      </c>
      <c r="B769" t="s">
        <v>353</v>
      </c>
      <c r="C769" t="s">
        <v>236</v>
      </c>
      <c r="D769" t="s">
        <v>155</v>
      </c>
      <c r="E769">
        <v>29</v>
      </c>
      <c r="F769">
        <v>1.20216281040021</v>
      </c>
      <c r="G769">
        <v>0.601081405200105</v>
      </c>
      <c r="H769">
        <v>43943</v>
      </c>
      <c r="I769">
        <v>43943</v>
      </c>
    </row>
    <row r="770" spans="1:12" x14ac:dyDescent="0.35">
      <c r="A770" t="s">
        <v>223</v>
      </c>
      <c r="B770" t="s">
        <v>353</v>
      </c>
      <c r="C770" t="s">
        <v>236</v>
      </c>
      <c r="D770" t="s">
        <v>155</v>
      </c>
      <c r="E770">
        <v>86</v>
      </c>
      <c r="F770">
        <v>3.7048472065970097</v>
      </c>
      <c r="G770">
        <v>1.8524236032985049</v>
      </c>
      <c r="H770">
        <v>43943</v>
      </c>
    </row>
    <row r="771" spans="1:12" x14ac:dyDescent="0.35">
      <c r="A771" t="s">
        <v>287</v>
      </c>
      <c r="B771" t="s">
        <v>353</v>
      </c>
      <c r="C771" t="s">
        <v>236</v>
      </c>
      <c r="D771" t="s">
        <v>155</v>
      </c>
      <c r="E771">
        <v>160</v>
      </c>
      <c r="F771">
        <v>6.9397580418557601</v>
      </c>
      <c r="G771">
        <v>3.46987902092788</v>
      </c>
      <c r="H771">
        <v>43943</v>
      </c>
    </row>
    <row r="772" spans="1:12" x14ac:dyDescent="0.35">
      <c r="A772" t="s">
        <v>288</v>
      </c>
      <c r="B772" t="s">
        <v>353</v>
      </c>
      <c r="C772" t="s">
        <v>236</v>
      </c>
      <c r="D772" t="s">
        <v>155</v>
      </c>
      <c r="E772">
        <v>18</v>
      </c>
      <c r="F772">
        <v>0.75408394470558504</v>
      </c>
      <c r="G772">
        <v>0.37704197235279252</v>
      </c>
      <c r="H772">
        <v>43943</v>
      </c>
    </row>
    <row r="773" spans="1:12" x14ac:dyDescent="0.35">
      <c r="A773" t="s">
        <v>193</v>
      </c>
      <c r="B773" t="s">
        <v>353</v>
      </c>
      <c r="C773" t="s">
        <v>236</v>
      </c>
      <c r="D773" t="s">
        <v>155</v>
      </c>
      <c r="E773">
        <v>538</v>
      </c>
      <c r="F773">
        <v>23.518676072556826</v>
      </c>
      <c r="G773">
        <v>11.759338036278413</v>
      </c>
      <c r="H773">
        <v>43943</v>
      </c>
      <c r="I773">
        <v>43943</v>
      </c>
      <c r="J773">
        <v>43987</v>
      </c>
      <c r="K773" t="s">
        <v>355</v>
      </c>
    </row>
    <row r="774" spans="1:12" x14ac:dyDescent="0.35">
      <c r="A774" t="s">
        <v>266</v>
      </c>
      <c r="B774" t="s">
        <v>353</v>
      </c>
      <c r="C774" t="s">
        <v>236</v>
      </c>
      <c r="D774" t="s">
        <v>155</v>
      </c>
      <c r="E774">
        <v>17</v>
      </c>
      <c r="F774">
        <v>0.71036893341830631</v>
      </c>
      <c r="G774">
        <v>0.28414757336732255</v>
      </c>
      <c r="H774">
        <v>43943</v>
      </c>
    </row>
    <row r="775" spans="1:12" x14ac:dyDescent="0.35">
      <c r="A775" t="s">
        <v>219</v>
      </c>
      <c r="B775" t="s">
        <v>353</v>
      </c>
      <c r="C775" t="s">
        <v>250</v>
      </c>
      <c r="D775" t="s">
        <v>155</v>
      </c>
      <c r="E775">
        <v>77</v>
      </c>
      <c r="F775">
        <v>4.9487562477588689</v>
      </c>
      <c r="G775">
        <v>2.4743781238794345</v>
      </c>
      <c r="H775">
        <v>43941</v>
      </c>
      <c r="I775">
        <v>43941</v>
      </c>
    </row>
    <row r="776" spans="1:12" x14ac:dyDescent="0.35">
      <c r="A776" t="s">
        <v>287</v>
      </c>
      <c r="B776" t="s">
        <v>353</v>
      </c>
      <c r="C776" t="s">
        <v>250</v>
      </c>
      <c r="D776" t="s">
        <v>155</v>
      </c>
      <c r="E776">
        <v>122</v>
      </c>
      <c r="F776">
        <v>7.8408867418766066</v>
      </c>
      <c r="G776">
        <v>3.9204433709383033</v>
      </c>
      <c r="H776">
        <v>43941</v>
      </c>
    </row>
    <row r="777" spans="1:12" x14ac:dyDescent="0.35">
      <c r="A777" t="s">
        <v>288</v>
      </c>
      <c r="B777" t="s">
        <v>353</v>
      </c>
      <c r="C777" t="s">
        <v>250</v>
      </c>
      <c r="D777" t="s">
        <v>155</v>
      </c>
      <c r="E777">
        <v>3</v>
      </c>
      <c r="F777">
        <v>0.192808702588081</v>
      </c>
      <c r="G777">
        <v>9.64043512940405E-2</v>
      </c>
      <c r="H777">
        <v>43941</v>
      </c>
    </row>
    <row r="778" spans="1:12" x14ac:dyDescent="0.35">
      <c r="A778" t="s">
        <v>193</v>
      </c>
      <c r="B778" t="s">
        <v>353</v>
      </c>
      <c r="C778" t="s">
        <v>250</v>
      </c>
      <c r="D778" t="s">
        <v>155</v>
      </c>
      <c r="E778">
        <v>1</v>
      </c>
      <c r="F778">
        <v>6.42696022987366E-2</v>
      </c>
      <c r="G778">
        <v>3.21348011493683E-2</v>
      </c>
      <c r="H778">
        <v>43941</v>
      </c>
    </row>
    <row r="779" spans="1:12" x14ac:dyDescent="0.35">
      <c r="A779" t="s">
        <v>266</v>
      </c>
      <c r="B779" t="s">
        <v>353</v>
      </c>
      <c r="C779" t="s">
        <v>250</v>
      </c>
      <c r="D779" t="s">
        <v>155</v>
      </c>
      <c r="E779">
        <v>95</v>
      </c>
      <c r="F779">
        <v>6.1056084632873544</v>
      </c>
      <c r="G779">
        <v>2.4422433853149421</v>
      </c>
      <c r="H779">
        <v>43941</v>
      </c>
    </row>
    <row r="780" spans="1:12" x14ac:dyDescent="0.35">
      <c r="A780" t="s">
        <v>219</v>
      </c>
      <c r="B780" t="s">
        <v>356</v>
      </c>
      <c r="C780" t="s">
        <v>302</v>
      </c>
      <c r="D780" t="s">
        <v>155</v>
      </c>
      <c r="E780">
        <v>11275</v>
      </c>
      <c r="F780">
        <v>11990.763023690393</v>
      </c>
      <c r="G780">
        <v>5995.3815118451967</v>
      </c>
      <c r="H780">
        <v>43977</v>
      </c>
      <c r="J780">
        <v>43983</v>
      </c>
      <c r="K780" t="s">
        <v>324</v>
      </c>
      <c r="L780">
        <v>43985</v>
      </c>
    </row>
    <row r="781" spans="1:12" x14ac:dyDescent="0.35">
      <c r="A781" t="s">
        <v>219</v>
      </c>
      <c r="B781" t="s">
        <v>352</v>
      </c>
      <c r="C781" t="s">
        <v>290</v>
      </c>
      <c r="D781" t="s">
        <v>155</v>
      </c>
      <c r="E781">
        <v>403</v>
      </c>
      <c r="F781">
        <v>17.210682410020205</v>
      </c>
      <c r="G781">
        <v>8.6053412050101024</v>
      </c>
      <c r="H781">
        <v>43956</v>
      </c>
    </row>
    <row r="782" spans="1:12" x14ac:dyDescent="0.35">
      <c r="A782" t="s">
        <v>287</v>
      </c>
      <c r="B782" t="s">
        <v>352</v>
      </c>
      <c r="C782" t="s">
        <v>290</v>
      </c>
      <c r="D782" t="s">
        <v>155</v>
      </c>
      <c r="E782">
        <v>395</v>
      </c>
      <c r="F782">
        <v>16.869031146297722</v>
      </c>
      <c r="G782">
        <v>8.434515573148861</v>
      </c>
      <c r="H782">
        <v>43956</v>
      </c>
    </row>
    <row r="783" spans="1:12" x14ac:dyDescent="0.35">
      <c r="A783" t="s">
        <v>266</v>
      </c>
      <c r="B783" t="s">
        <v>352</v>
      </c>
      <c r="C783" t="s">
        <v>290</v>
      </c>
      <c r="D783" t="s">
        <v>155</v>
      </c>
      <c r="E783">
        <v>983</v>
      </c>
      <c r="F783">
        <v>41.980399029900411</v>
      </c>
      <c r="G783">
        <v>16.792159611960166</v>
      </c>
      <c r="H783">
        <v>43956</v>
      </c>
    </row>
    <row r="784" spans="1:12" x14ac:dyDescent="0.35">
      <c r="A784" t="s">
        <v>219</v>
      </c>
      <c r="B784" t="s">
        <v>353</v>
      </c>
      <c r="C784" t="s">
        <v>240</v>
      </c>
      <c r="D784" t="s">
        <v>155</v>
      </c>
      <c r="E784">
        <v>6</v>
      </c>
      <c r="F784">
        <v>1.4222956299781793</v>
      </c>
      <c r="G784">
        <v>0.71114781498908963</v>
      </c>
      <c r="H784">
        <v>43957</v>
      </c>
    </row>
    <row r="785" spans="1:12" x14ac:dyDescent="0.35">
      <c r="A785" t="s">
        <v>287</v>
      </c>
      <c r="B785" t="s">
        <v>353</v>
      </c>
      <c r="C785" t="s">
        <v>240</v>
      </c>
      <c r="D785" t="s">
        <v>155</v>
      </c>
      <c r="E785">
        <v>4</v>
      </c>
      <c r="F785">
        <v>0.78226262331008967</v>
      </c>
      <c r="G785">
        <v>0.39113131165504483</v>
      </c>
      <c r="H785">
        <v>43957</v>
      </c>
    </row>
    <row r="786" spans="1:12" x14ac:dyDescent="0.35">
      <c r="A786" t="s">
        <v>266</v>
      </c>
      <c r="B786" t="s">
        <v>353</v>
      </c>
      <c r="C786" t="s">
        <v>240</v>
      </c>
      <c r="D786" t="s">
        <v>155</v>
      </c>
      <c r="E786">
        <v>1</v>
      </c>
      <c r="F786">
        <v>7.1114778518676744E-2</v>
      </c>
      <c r="G786">
        <v>2.84459114074707E-2</v>
      </c>
      <c r="H786">
        <v>43957</v>
      </c>
    </row>
    <row r="787" spans="1:12" x14ac:dyDescent="0.35">
      <c r="A787" t="s">
        <v>303</v>
      </c>
      <c r="B787" t="s">
        <v>356</v>
      </c>
      <c r="C787" t="s">
        <v>302</v>
      </c>
      <c r="D787" t="s">
        <v>155</v>
      </c>
      <c r="E787">
        <v>1824940</v>
      </c>
      <c r="F787">
        <v>366978.52802134166</v>
      </c>
      <c r="G787" t="s">
        <v>153</v>
      </c>
      <c r="H787">
        <v>43962</v>
      </c>
    </row>
    <row r="788" spans="1:12" x14ac:dyDescent="0.35">
      <c r="A788" t="s">
        <v>339</v>
      </c>
      <c r="B788" t="s">
        <v>356</v>
      </c>
      <c r="C788" t="s">
        <v>302</v>
      </c>
      <c r="D788" t="s">
        <v>155</v>
      </c>
      <c r="E788">
        <v>67095</v>
      </c>
      <c r="F788">
        <v>10209.317139238068</v>
      </c>
      <c r="G788" t="s">
        <v>153</v>
      </c>
      <c r="H788">
        <v>43962</v>
      </c>
    </row>
    <row r="789" spans="1:12" x14ac:dyDescent="0.35">
      <c r="A789" t="s">
        <v>357</v>
      </c>
      <c r="B789" t="s">
        <v>356</v>
      </c>
      <c r="C789" t="s">
        <v>302</v>
      </c>
      <c r="D789" t="s">
        <v>155</v>
      </c>
      <c r="E789">
        <v>1138</v>
      </c>
      <c r="F789">
        <v>2662.6267519478779</v>
      </c>
      <c r="G789">
        <v>1331.3133759739389</v>
      </c>
      <c r="H789">
        <v>43970</v>
      </c>
    </row>
    <row r="790" spans="1:12" x14ac:dyDescent="0.35">
      <c r="A790" t="s">
        <v>211</v>
      </c>
      <c r="B790" t="s">
        <v>356</v>
      </c>
      <c r="C790" t="s">
        <v>302</v>
      </c>
      <c r="D790" t="s">
        <v>155</v>
      </c>
      <c r="E790">
        <v>58</v>
      </c>
      <c r="F790">
        <v>8.6618344868933672</v>
      </c>
      <c r="G790">
        <v>4.3309172434466836</v>
      </c>
      <c r="H790">
        <v>43962</v>
      </c>
      <c r="I790">
        <v>43962</v>
      </c>
      <c r="J790">
        <v>43987</v>
      </c>
      <c r="K790" t="s">
        <v>358</v>
      </c>
      <c r="L790">
        <v>43811</v>
      </c>
    </row>
    <row r="791" spans="1:12" x14ac:dyDescent="0.35">
      <c r="A791" t="s">
        <v>152</v>
      </c>
      <c r="B791" t="s">
        <v>356</v>
      </c>
      <c r="C791" t="s">
        <v>302</v>
      </c>
      <c r="D791" t="s">
        <v>155</v>
      </c>
      <c r="E791">
        <v>51451</v>
      </c>
      <c r="F791">
        <v>27924.32817038973</v>
      </c>
      <c r="G791">
        <v>0</v>
      </c>
      <c r="H791">
        <v>43962</v>
      </c>
    </row>
    <row r="792" spans="1:12" x14ac:dyDescent="0.35">
      <c r="A792" t="s">
        <v>265</v>
      </c>
      <c r="B792" t="s">
        <v>356</v>
      </c>
      <c r="C792" t="s">
        <v>302</v>
      </c>
      <c r="D792" t="s">
        <v>155</v>
      </c>
      <c r="E792">
        <v>3</v>
      </c>
      <c r="F792">
        <v>0.48584706908604658</v>
      </c>
      <c r="G792">
        <v>0.24292353454302329</v>
      </c>
      <c r="H792">
        <v>43962</v>
      </c>
    </row>
    <row r="793" spans="1:12" x14ac:dyDescent="0.35">
      <c r="A793" t="s">
        <v>232</v>
      </c>
      <c r="B793" t="s">
        <v>356</v>
      </c>
      <c r="C793" t="s">
        <v>302</v>
      </c>
      <c r="D793" t="s">
        <v>155</v>
      </c>
      <c r="E793">
        <v>87846</v>
      </c>
      <c r="F793">
        <v>15036.974327665223</v>
      </c>
      <c r="G793">
        <v>0</v>
      </c>
      <c r="H793">
        <v>43962</v>
      </c>
    </row>
    <row r="794" spans="1:12" x14ac:dyDescent="0.35">
      <c r="A794" t="s">
        <v>326</v>
      </c>
      <c r="B794" t="s">
        <v>356</v>
      </c>
      <c r="C794" t="s">
        <v>302</v>
      </c>
      <c r="D794" t="s">
        <v>155</v>
      </c>
      <c r="E794">
        <v>134</v>
      </c>
      <c r="F794">
        <v>175.54084090043739</v>
      </c>
      <c r="G794">
        <v>87.770420450218694</v>
      </c>
      <c r="H794">
        <v>43962</v>
      </c>
    </row>
    <row r="795" spans="1:12" x14ac:dyDescent="0.35">
      <c r="A795" t="s">
        <v>313</v>
      </c>
      <c r="B795" t="s">
        <v>356</v>
      </c>
      <c r="C795" t="s">
        <v>302</v>
      </c>
      <c r="D795" t="s">
        <v>155</v>
      </c>
      <c r="E795">
        <v>567</v>
      </c>
      <c r="F795">
        <v>1158.165069031857</v>
      </c>
      <c r="G795">
        <v>579.0825345159285</v>
      </c>
      <c r="H795">
        <v>43962</v>
      </c>
    </row>
    <row r="796" spans="1:12" x14ac:dyDescent="0.35">
      <c r="A796" t="s">
        <v>329</v>
      </c>
      <c r="B796" t="s">
        <v>356</v>
      </c>
      <c r="C796" t="s">
        <v>302</v>
      </c>
      <c r="D796" t="s">
        <v>155</v>
      </c>
      <c r="E796">
        <v>349</v>
      </c>
      <c r="F796">
        <v>1017.1960424841307</v>
      </c>
      <c r="G796">
        <v>508.59802124206533</v>
      </c>
      <c r="H796">
        <v>43962</v>
      </c>
      <c r="L796">
        <v>44522</v>
      </c>
    </row>
    <row r="797" spans="1:12" x14ac:dyDescent="0.35">
      <c r="A797" t="s">
        <v>210</v>
      </c>
      <c r="B797" t="s">
        <v>356</v>
      </c>
      <c r="C797" t="s">
        <v>302</v>
      </c>
      <c r="D797" t="s">
        <v>155</v>
      </c>
      <c r="E797">
        <v>103</v>
      </c>
      <c r="F797">
        <v>254.09917450267898</v>
      </c>
      <c r="G797">
        <v>76.229752350803693</v>
      </c>
      <c r="H797">
        <v>43962</v>
      </c>
    </row>
    <row r="798" spans="1:12" x14ac:dyDescent="0.35">
      <c r="A798" t="s">
        <v>332</v>
      </c>
      <c r="B798" t="s">
        <v>356</v>
      </c>
      <c r="C798" t="s">
        <v>302</v>
      </c>
      <c r="D798" t="s">
        <v>155</v>
      </c>
      <c r="E798">
        <v>2023</v>
      </c>
      <c r="F798">
        <v>2676.1878227755387</v>
      </c>
      <c r="G798">
        <v>1070.4751291102154</v>
      </c>
      <c r="H798">
        <v>43962</v>
      </c>
    </row>
    <row r="799" spans="1:12" x14ac:dyDescent="0.35">
      <c r="A799" t="s">
        <v>314</v>
      </c>
      <c r="B799" t="s">
        <v>356</v>
      </c>
      <c r="C799" t="s">
        <v>302</v>
      </c>
      <c r="D799" t="s">
        <v>155</v>
      </c>
      <c r="E799">
        <v>6038</v>
      </c>
      <c r="F799">
        <v>13655.845360044101</v>
      </c>
      <c r="G799">
        <v>4096.7536080132295</v>
      </c>
      <c r="H799">
        <v>43962</v>
      </c>
      <c r="I799">
        <v>43962</v>
      </c>
      <c r="J799">
        <v>43987</v>
      </c>
      <c r="K799" t="s">
        <v>358</v>
      </c>
      <c r="L799">
        <v>44091</v>
      </c>
    </row>
    <row r="800" spans="1:12" x14ac:dyDescent="0.35">
      <c r="A800" t="s">
        <v>30</v>
      </c>
      <c r="B800" t="s">
        <v>356</v>
      </c>
      <c r="C800" t="s">
        <v>302</v>
      </c>
      <c r="D800" t="s">
        <v>155</v>
      </c>
      <c r="E800">
        <v>25386</v>
      </c>
      <c r="F800">
        <v>26427.127197746689</v>
      </c>
      <c r="G800">
        <v>13213.563598873345</v>
      </c>
      <c r="H800">
        <v>43962</v>
      </c>
    </row>
    <row r="801" spans="1:13" x14ac:dyDescent="0.35">
      <c r="A801" t="s">
        <v>347</v>
      </c>
      <c r="B801" t="s">
        <v>356</v>
      </c>
      <c r="C801" t="s">
        <v>302</v>
      </c>
      <c r="D801" t="s">
        <v>155</v>
      </c>
      <c r="E801">
        <v>39</v>
      </c>
      <c r="F801">
        <v>35.477785832528035</v>
      </c>
      <c r="G801">
        <v>10.64333574975841</v>
      </c>
      <c r="H801">
        <v>43962</v>
      </c>
    </row>
    <row r="802" spans="1:13" x14ac:dyDescent="0.35">
      <c r="A802" t="s">
        <v>256</v>
      </c>
      <c r="B802" t="s">
        <v>356</v>
      </c>
      <c r="C802" t="s">
        <v>302</v>
      </c>
      <c r="D802" t="s">
        <v>155</v>
      </c>
      <c r="E802">
        <v>25</v>
      </c>
      <c r="F802">
        <v>3.5318624023408516</v>
      </c>
      <c r="G802">
        <v>0</v>
      </c>
      <c r="H802">
        <v>43962</v>
      </c>
    </row>
    <row r="803" spans="1:13" x14ac:dyDescent="0.35">
      <c r="A803" t="s">
        <v>359</v>
      </c>
      <c r="B803" t="s">
        <v>356</v>
      </c>
      <c r="C803" t="s">
        <v>302</v>
      </c>
      <c r="D803" t="s">
        <v>155</v>
      </c>
      <c r="E803">
        <v>75</v>
      </c>
      <c r="F803">
        <v>339.32112985253491</v>
      </c>
      <c r="G803">
        <v>169.66056492626745</v>
      </c>
      <c r="H803">
        <v>43962</v>
      </c>
    </row>
    <row r="804" spans="1:13" x14ac:dyDescent="0.35">
      <c r="A804" t="s">
        <v>213</v>
      </c>
      <c r="B804" t="s">
        <v>356</v>
      </c>
      <c r="C804" t="s">
        <v>302</v>
      </c>
      <c r="D804" t="s">
        <v>155</v>
      </c>
      <c r="E804">
        <v>31</v>
      </c>
      <c r="F804">
        <v>56.585468710062045</v>
      </c>
      <c r="G804">
        <v>16.975640613018612</v>
      </c>
      <c r="H804">
        <v>43962</v>
      </c>
      <c r="L804">
        <v>43989</v>
      </c>
    </row>
    <row r="805" spans="1:13" x14ac:dyDescent="0.35">
      <c r="A805" t="s">
        <v>160</v>
      </c>
      <c r="B805" t="s">
        <v>356</v>
      </c>
      <c r="C805" t="s">
        <v>302</v>
      </c>
      <c r="D805" t="s">
        <v>155</v>
      </c>
      <c r="E805">
        <v>1758</v>
      </c>
      <c r="F805">
        <v>2854.7245712746567</v>
      </c>
      <c r="G805">
        <v>0</v>
      </c>
      <c r="H805">
        <v>43962</v>
      </c>
    </row>
    <row r="806" spans="1:13" x14ac:dyDescent="0.35">
      <c r="A806" t="s">
        <v>120</v>
      </c>
      <c r="B806" t="s">
        <v>356</v>
      </c>
      <c r="C806" t="s">
        <v>302</v>
      </c>
      <c r="D806" t="s">
        <v>155</v>
      </c>
      <c r="E806">
        <v>460864</v>
      </c>
      <c r="F806">
        <v>244223.50379233563</v>
      </c>
      <c r="G806">
        <v>0</v>
      </c>
      <c r="H806">
        <v>43962</v>
      </c>
    </row>
    <row r="807" spans="1:13" x14ac:dyDescent="0.35">
      <c r="A807" t="s">
        <v>162</v>
      </c>
      <c r="B807" t="s">
        <v>356</v>
      </c>
      <c r="C807" t="s">
        <v>302</v>
      </c>
      <c r="D807" t="s">
        <v>155</v>
      </c>
      <c r="E807">
        <v>1170</v>
      </c>
      <c r="F807">
        <v>1766.8264635774028</v>
      </c>
      <c r="G807">
        <v>1060.0958781464412</v>
      </c>
      <c r="H807">
        <v>43962</v>
      </c>
      <c r="I807">
        <v>43962</v>
      </c>
      <c r="J807">
        <v>43987</v>
      </c>
      <c r="K807" t="s">
        <v>358</v>
      </c>
      <c r="L807">
        <v>43989</v>
      </c>
    </row>
    <row r="808" spans="1:13" x14ac:dyDescent="0.35">
      <c r="A808" t="s">
        <v>190</v>
      </c>
      <c r="B808" t="s">
        <v>356</v>
      </c>
      <c r="C808" t="s">
        <v>302</v>
      </c>
      <c r="D808" t="s">
        <v>155</v>
      </c>
      <c r="E808">
        <v>31747</v>
      </c>
      <c r="F808">
        <v>17475.661784682386</v>
      </c>
      <c r="G808">
        <v>8737.8308923411932</v>
      </c>
      <c r="H808">
        <v>44225</v>
      </c>
      <c r="I808">
        <v>44225</v>
      </c>
      <c r="L808">
        <v>44201</v>
      </c>
    </row>
    <row r="809" spans="1:13" x14ac:dyDescent="0.35">
      <c r="A809" t="s">
        <v>257</v>
      </c>
      <c r="B809" t="s">
        <v>356</v>
      </c>
      <c r="C809" t="s">
        <v>302</v>
      </c>
      <c r="D809" t="s">
        <v>155</v>
      </c>
      <c r="E809">
        <v>103</v>
      </c>
      <c r="F809">
        <v>14.945305698454913</v>
      </c>
      <c r="G809">
        <v>0</v>
      </c>
      <c r="H809">
        <v>43962</v>
      </c>
    </row>
    <row r="810" spans="1:13" x14ac:dyDescent="0.35">
      <c r="A810" t="s">
        <v>349</v>
      </c>
      <c r="B810" t="s">
        <v>356</v>
      </c>
      <c r="C810" t="s">
        <v>302</v>
      </c>
      <c r="D810" t="s">
        <v>155</v>
      </c>
      <c r="E810">
        <v>16</v>
      </c>
      <c r="F810">
        <v>23.818983944995569</v>
      </c>
      <c r="G810">
        <v>9.5275935779982266</v>
      </c>
      <c r="H810">
        <v>43962</v>
      </c>
    </row>
    <row r="811" spans="1:13" x14ac:dyDescent="0.35">
      <c r="A811" t="s">
        <v>278</v>
      </c>
      <c r="B811" t="s">
        <v>356</v>
      </c>
      <c r="C811" t="s">
        <v>302</v>
      </c>
      <c r="D811" t="s">
        <v>155</v>
      </c>
      <c r="E811">
        <v>137</v>
      </c>
      <c r="F811">
        <v>19.859460234616453</v>
      </c>
      <c r="G811">
        <v>9.9297301173082264</v>
      </c>
      <c r="H811">
        <v>43962</v>
      </c>
    </row>
    <row r="812" spans="1:13" x14ac:dyDescent="0.35">
      <c r="A812" t="s">
        <v>283</v>
      </c>
      <c r="B812" t="s">
        <v>356</v>
      </c>
      <c r="C812" t="s">
        <v>302</v>
      </c>
      <c r="D812" t="s">
        <v>155</v>
      </c>
      <c r="E812">
        <v>9968</v>
      </c>
      <c r="F812">
        <v>2013.8675510181508</v>
      </c>
      <c r="G812">
        <v>1006.9337755090754</v>
      </c>
      <c r="H812">
        <v>43962</v>
      </c>
      <c r="I812">
        <v>43962</v>
      </c>
      <c r="L812">
        <v>43987</v>
      </c>
      <c r="M812" t="s">
        <v>340</v>
      </c>
    </row>
    <row r="813" spans="1:13" x14ac:dyDescent="0.35">
      <c r="A813" t="s">
        <v>306</v>
      </c>
      <c r="B813" t="s">
        <v>356</v>
      </c>
      <c r="C813" t="s">
        <v>302</v>
      </c>
      <c r="D813" t="s">
        <v>155</v>
      </c>
      <c r="E813">
        <v>7686</v>
      </c>
      <c r="F813">
        <v>1673.2732417491045</v>
      </c>
      <c r="G813" t="s">
        <v>153</v>
      </c>
      <c r="H813">
        <v>43962</v>
      </c>
      <c r="I813">
        <v>43962</v>
      </c>
      <c r="L813">
        <v>43987</v>
      </c>
    </row>
    <row r="814" spans="1:13" x14ac:dyDescent="0.35">
      <c r="A814" t="s">
        <v>279</v>
      </c>
      <c r="B814" t="s">
        <v>356</v>
      </c>
      <c r="C814" t="s">
        <v>302</v>
      </c>
      <c r="D814" t="s">
        <v>155</v>
      </c>
      <c r="E814">
        <v>100945</v>
      </c>
      <c r="F814">
        <v>15220.396124477908</v>
      </c>
      <c r="G814" t="s">
        <v>153</v>
      </c>
      <c r="H814">
        <v>43962</v>
      </c>
    </row>
    <row r="815" spans="1:13" x14ac:dyDescent="0.35">
      <c r="A815" t="s">
        <v>151</v>
      </c>
      <c r="B815" t="s">
        <v>356</v>
      </c>
      <c r="C815" t="s">
        <v>302</v>
      </c>
      <c r="D815" t="s">
        <v>155</v>
      </c>
      <c r="E815">
        <v>406711</v>
      </c>
      <c r="F815">
        <v>557360.70079376502</v>
      </c>
      <c r="G815">
        <v>334416.42047625867</v>
      </c>
      <c r="H815">
        <v>43962</v>
      </c>
    </row>
    <row r="816" spans="1:13" x14ac:dyDescent="0.35">
      <c r="A816" t="s">
        <v>193</v>
      </c>
      <c r="B816" t="s">
        <v>356</v>
      </c>
      <c r="C816" t="s">
        <v>302</v>
      </c>
      <c r="D816" t="s">
        <v>155</v>
      </c>
      <c r="E816">
        <v>575</v>
      </c>
      <c r="F816">
        <v>835.07944499924349</v>
      </c>
      <c r="G816">
        <v>417.53972249962175</v>
      </c>
      <c r="H816">
        <v>43962</v>
      </c>
      <c r="I816">
        <v>43962</v>
      </c>
      <c r="J816">
        <v>43987</v>
      </c>
      <c r="K816" t="s">
        <v>355</v>
      </c>
    </row>
    <row r="817" spans="1:12" x14ac:dyDescent="0.35">
      <c r="A817" t="s">
        <v>215</v>
      </c>
      <c r="B817" t="s">
        <v>356</v>
      </c>
      <c r="C817" t="s">
        <v>302</v>
      </c>
      <c r="D817" t="s">
        <v>155</v>
      </c>
      <c r="E817">
        <v>6</v>
      </c>
      <c r="F817">
        <v>1.0295191797374716</v>
      </c>
      <c r="G817">
        <v>0.51475958986873582</v>
      </c>
      <c r="H817">
        <v>43962</v>
      </c>
    </row>
    <row r="818" spans="1:12" x14ac:dyDescent="0.35">
      <c r="A818" t="s">
        <v>266</v>
      </c>
      <c r="B818" t="s">
        <v>356</v>
      </c>
      <c r="C818" t="s">
        <v>302</v>
      </c>
      <c r="D818" t="s">
        <v>155</v>
      </c>
      <c r="E818">
        <v>337</v>
      </c>
      <c r="F818">
        <v>608.5284784230887</v>
      </c>
      <c r="G818">
        <v>243.41139136923545</v>
      </c>
      <c r="H818">
        <v>43962</v>
      </c>
    </row>
    <row r="819" spans="1:12" x14ac:dyDescent="0.35">
      <c r="A819" t="s">
        <v>267</v>
      </c>
      <c r="B819" t="s">
        <v>356</v>
      </c>
      <c r="C819" t="s">
        <v>302</v>
      </c>
      <c r="D819" t="s">
        <v>155</v>
      </c>
      <c r="E819">
        <v>97957</v>
      </c>
      <c r="F819">
        <v>131919.30624692724</v>
      </c>
      <c r="G819" t="s">
        <v>153</v>
      </c>
      <c r="H819">
        <v>43962</v>
      </c>
    </row>
    <row r="820" spans="1:12" x14ac:dyDescent="0.35">
      <c r="A820" t="s">
        <v>342</v>
      </c>
      <c r="B820" t="s">
        <v>356</v>
      </c>
      <c r="C820" t="s">
        <v>302</v>
      </c>
      <c r="D820" t="s">
        <v>155</v>
      </c>
      <c r="E820">
        <v>685395</v>
      </c>
      <c r="F820">
        <v>319107.2014620782</v>
      </c>
      <c r="G820" t="s">
        <v>153</v>
      </c>
      <c r="H820">
        <v>43962</v>
      </c>
    </row>
    <row r="821" spans="1:12" x14ac:dyDescent="0.35">
      <c r="A821" t="s">
        <v>186</v>
      </c>
      <c r="B821" t="s">
        <v>356</v>
      </c>
      <c r="C821" t="s">
        <v>302</v>
      </c>
      <c r="D821" t="s">
        <v>155</v>
      </c>
      <c r="E821">
        <v>5279</v>
      </c>
      <c r="F821">
        <v>1584.6695353880266</v>
      </c>
      <c r="G821">
        <v>792.33476769401329</v>
      </c>
      <c r="H821">
        <v>43962</v>
      </c>
    </row>
    <row r="822" spans="1:12" x14ac:dyDescent="0.35">
      <c r="A822" t="s">
        <v>280</v>
      </c>
      <c r="B822" t="s">
        <v>356</v>
      </c>
      <c r="C822" t="s">
        <v>302</v>
      </c>
      <c r="D822" t="s">
        <v>155</v>
      </c>
      <c r="E822">
        <v>1</v>
      </c>
      <c r="F822">
        <v>0.14127449609363404</v>
      </c>
      <c r="G822">
        <v>7.0637248046817022E-2</v>
      </c>
      <c r="H822">
        <v>43962</v>
      </c>
    </row>
    <row r="823" spans="1:12" x14ac:dyDescent="0.35">
      <c r="A823" t="s">
        <v>315</v>
      </c>
      <c r="B823" t="s">
        <v>356</v>
      </c>
      <c r="C823" t="s">
        <v>302</v>
      </c>
      <c r="D823" t="s">
        <v>155</v>
      </c>
      <c r="E823">
        <v>2731809</v>
      </c>
      <c r="F823">
        <v>4350546.3204989079</v>
      </c>
      <c r="G823" t="s">
        <v>153</v>
      </c>
      <c r="H823">
        <v>43962</v>
      </c>
    </row>
    <row r="824" spans="1:12" x14ac:dyDescent="0.35">
      <c r="A824" t="s">
        <v>268</v>
      </c>
      <c r="B824" t="s">
        <v>356</v>
      </c>
      <c r="C824" t="s">
        <v>302</v>
      </c>
      <c r="D824" t="s">
        <v>155</v>
      </c>
      <c r="E824">
        <v>247</v>
      </c>
      <c r="F824">
        <v>392.0197648762375</v>
      </c>
      <c r="G824">
        <v>156.80790595049501</v>
      </c>
      <c r="H824">
        <v>43962</v>
      </c>
      <c r="L824">
        <v>44077</v>
      </c>
    </row>
    <row r="825" spans="1:12" x14ac:dyDescent="0.35">
      <c r="A825" t="s">
        <v>258</v>
      </c>
      <c r="B825" t="s">
        <v>356</v>
      </c>
      <c r="C825" t="s">
        <v>302</v>
      </c>
      <c r="D825" t="s">
        <v>155</v>
      </c>
      <c r="E825">
        <v>538</v>
      </c>
      <c r="F825">
        <v>78.837788216701341</v>
      </c>
      <c r="G825">
        <v>0</v>
      </c>
      <c r="H825">
        <v>43962</v>
      </c>
    </row>
    <row r="826" spans="1:12" x14ac:dyDescent="0.35">
      <c r="A826" t="s">
        <v>219</v>
      </c>
      <c r="B826" t="s">
        <v>353</v>
      </c>
      <c r="C826" t="s">
        <v>246</v>
      </c>
      <c r="D826" t="s">
        <v>155</v>
      </c>
      <c r="E826">
        <v>1599</v>
      </c>
      <c r="F826">
        <v>0</v>
      </c>
      <c r="G826">
        <v>134.82134449999998</v>
      </c>
      <c r="H826">
        <v>43964</v>
      </c>
      <c r="I826">
        <v>44006</v>
      </c>
    </row>
    <row r="827" spans="1:12" x14ac:dyDescent="0.35">
      <c r="A827" t="s">
        <v>360</v>
      </c>
      <c r="B827" t="s">
        <v>353</v>
      </c>
      <c r="C827" t="s">
        <v>246</v>
      </c>
      <c r="D827" t="s">
        <v>155</v>
      </c>
      <c r="E827">
        <v>55</v>
      </c>
      <c r="F827">
        <v>0</v>
      </c>
      <c r="G827">
        <v>4.6186414999999998</v>
      </c>
      <c r="H827">
        <v>43964</v>
      </c>
      <c r="I827">
        <v>44006</v>
      </c>
    </row>
    <row r="828" spans="1:12" x14ac:dyDescent="0.35">
      <c r="A828" t="s">
        <v>193</v>
      </c>
      <c r="B828" t="s">
        <v>353</v>
      </c>
      <c r="C828" t="s">
        <v>246</v>
      </c>
      <c r="D828" t="s">
        <v>155</v>
      </c>
      <c r="E828">
        <v>21234</v>
      </c>
      <c r="F828">
        <v>0</v>
      </c>
      <c r="G828">
        <v>1791.6887100000001</v>
      </c>
      <c r="H828">
        <v>43964</v>
      </c>
      <c r="I828">
        <v>44006</v>
      </c>
      <c r="J828">
        <v>43987</v>
      </c>
      <c r="K828" t="s">
        <v>355</v>
      </c>
    </row>
    <row r="829" spans="1:12" x14ac:dyDescent="0.35">
      <c r="A829" t="s">
        <v>361</v>
      </c>
      <c r="B829" t="s">
        <v>353</v>
      </c>
      <c r="C829" t="s">
        <v>246</v>
      </c>
      <c r="D829" t="s">
        <v>155</v>
      </c>
      <c r="E829">
        <v>206</v>
      </c>
      <c r="F829">
        <v>0</v>
      </c>
      <c r="G829">
        <v>17.395060000000004</v>
      </c>
      <c r="H829">
        <v>43964</v>
      </c>
      <c r="I829">
        <v>44006</v>
      </c>
    </row>
    <row r="830" spans="1:12" x14ac:dyDescent="0.35">
      <c r="A830" t="s">
        <v>362</v>
      </c>
      <c r="B830" t="s">
        <v>363</v>
      </c>
      <c r="C830" t="s">
        <v>302</v>
      </c>
      <c r="D830" t="s">
        <v>155</v>
      </c>
      <c r="E830">
        <v>22935</v>
      </c>
      <c r="F830">
        <v>39373.392054093601</v>
      </c>
      <c r="G830">
        <v>15749.356821637441</v>
      </c>
      <c r="H830">
        <v>43980</v>
      </c>
      <c r="I830">
        <v>44005</v>
      </c>
      <c r="L830">
        <v>44020</v>
      </c>
    </row>
    <row r="831" spans="1:12" x14ac:dyDescent="0.35">
      <c r="A831" t="s">
        <v>364</v>
      </c>
      <c r="B831" t="s">
        <v>365</v>
      </c>
      <c r="C831" t="s">
        <v>302</v>
      </c>
      <c r="D831" t="s">
        <v>155</v>
      </c>
      <c r="E831">
        <v>3879</v>
      </c>
      <c r="F831">
        <v>4328.4648436907428</v>
      </c>
      <c r="G831">
        <v>1298.5394531072229</v>
      </c>
      <c r="H831">
        <v>43980</v>
      </c>
      <c r="I831">
        <v>44005</v>
      </c>
    </row>
    <row r="832" spans="1:12" x14ac:dyDescent="0.35">
      <c r="A832" t="s">
        <v>366</v>
      </c>
      <c r="B832" t="s">
        <v>353</v>
      </c>
      <c r="C832" t="s">
        <v>302</v>
      </c>
      <c r="D832" t="s">
        <v>155</v>
      </c>
      <c r="E832">
        <v>11728</v>
      </c>
      <c r="F832">
        <v>15535.429026739792</v>
      </c>
      <c r="G832">
        <v>7767.7145133698959</v>
      </c>
      <c r="H832">
        <v>43980</v>
      </c>
      <c r="I832">
        <v>44005</v>
      </c>
      <c r="L832">
        <v>45442</v>
      </c>
    </row>
    <row r="833" spans="1:9" x14ac:dyDescent="0.35">
      <c r="A833" t="s">
        <v>367</v>
      </c>
      <c r="B833" t="s">
        <v>356</v>
      </c>
      <c r="C833" t="s">
        <v>302</v>
      </c>
      <c r="D833" t="s">
        <v>155</v>
      </c>
      <c r="E833">
        <v>47029</v>
      </c>
      <c r="F833">
        <v>7690.7728147869821</v>
      </c>
      <c r="G833" t="s">
        <v>153</v>
      </c>
      <c r="H833">
        <v>43980</v>
      </c>
      <c r="I833">
        <v>44005</v>
      </c>
    </row>
    <row r="834" spans="1:9" x14ac:dyDescent="0.35">
      <c r="A834" t="s">
        <v>219</v>
      </c>
      <c r="B834" t="s">
        <v>368</v>
      </c>
      <c r="C834" t="s">
        <v>132</v>
      </c>
      <c r="D834" t="s">
        <v>243</v>
      </c>
      <c r="E834">
        <v>20</v>
      </c>
      <c r="F834">
        <v>39.93133972898125</v>
      </c>
      <c r="G834">
        <v>19.965669864490625</v>
      </c>
      <c r="H834">
        <v>43991</v>
      </c>
      <c r="I834">
        <v>43992</v>
      </c>
    </row>
    <row r="835" spans="1:9" x14ac:dyDescent="0.35">
      <c r="A835" t="s">
        <v>230</v>
      </c>
      <c r="B835" t="s">
        <v>368</v>
      </c>
      <c r="C835" t="s">
        <v>132</v>
      </c>
      <c r="D835" t="s">
        <v>243</v>
      </c>
      <c r="E835">
        <v>1</v>
      </c>
      <c r="F835">
        <v>0.10550000146031376</v>
      </c>
      <c r="G835">
        <v>5.2750000730156878E-2</v>
      </c>
      <c r="H835">
        <v>43991</v>
      </c>
      <c r="I835">
        <v>43992</v>
      </c>
    </row>
    <row r="836" spans="1:9" x14ac:dyDescent="0.35">
      <c r="A836" t="s">
        <v>193</v>
      </c>
      <c r="B836" t="s">
        <v>368</v>
      </c>
      <c r="C836" t="s">
        <v>132</v>
      </c>
      <c r="D836" t="s">
        <v>243</v>
      </c>
      <c r="E836">
        <v>1</v>
      </c>
      <c r="F836">
        <v>1.0738800144195551</v>
      </c>
      <c r="G836">
        <v>0.53694000720977753</v>
      </c>
      <c r="H836">
        <v>43991</v>
      </c>
      <c r="I836">
        <v>43992</v>
      </c>
    </row>
    <row r="837" spans="1:9" x14ac:dyDescent="0.35">
      <c r="A837" t="s">
        <v>219</v>
      </c>
      <c r="B837" t="s">
        <v>369</v>
      </c>
      <c r="C837" t="s">
        <v>302</v>
      </c>
      <c r="D837" t="s">
        <v>155</v>
      </c>
      <c r="E837">
        <v>11946</v>
      </c>
      <c r="F837">
        <v>9460.7539580641096</v>
      </c>
      <c r="G837">
        <v>4730.3769790320548</v>
      </c>
      <c r="H837">
        <v>44000</v>
      </c>
    </row>
    <row r="838" spans="1:9" x14ac:dyDescent="0.35">
      <c r="A838" t="s">
        <v>219</v>
      </c>
      <c r="B838" t="s">
        <v>370</v>
      </c>
      <c r="C838" t="s">
        <v>246</v>
      </c>
      <c r="D838" t="s">
        <v>155</v>
      </c>
      <c r="E838">
        <v>5759</v>
      </c>
      <c r="F838">
        <v>0</v>
      </c>
      <c r="G838">
        <v>575.9000000000002</v>
      </c>
      <c r="H838">
        <v>44001</v>
      </c>
    </row>
    <row r="839" spans="1:9" x14ac:dyDescent="0.35">
      <c r="A839" t="s">
        <v>219</v>
      </c>
      <c r="B839" t="s">
        <v>370</v>
      </c>
      <c r="C839" t="s">
        <v>236</v>
      </c>
      <c r="D839" t="s">
        <v>155</v>
      </c>
      <c r="E839">
        <v>152</v>
      </c>
      <c r="F839">
        <v>11.958223544015876</v>
      </c>
      <c r="G839">
        <v>5.9791117720079381</v>
      </c>
      <c r="H839">
        <v>44001</v>
      </c>
    </row>
    <row r="840" spans="1:9" x14ac:dyDescent="0.35">
      <c r="A840" t="s">
        <v>223</v>
      </c>
      <c r="B840" t="s">
        <v>371</v>
      </c>
      <c r="C840" t="s">
        <v>236</v>
      </c>
      <c r="D840" t="s">
        <v>155</v>
      </c>
      <c r="E840">
        <v>129</v>
      </c>
      <c r="F840">
        <v>9.842019109087305</v>
      </c>
      <c r="G840">
        <v>4.9210095545436525</v>
      </c>
      <c r="H840">
        <v>44005</v>
      </c>
      <c r="I840">
        <v>44005</v>
      </c>
    </row>
    <row r="841" spans="1:9" x14ac:dyDescent="0.35">
      <c r="A841" t="s">
        <v>287</v>
      </c>
      <c r="B841" t="s">
        <v>371</v>
      </c>
      <c r="C841" t="s">
        <v>236</v>
      </c>
      <c r="D841" t="s">
        <v>155</v>
      </c>
      <c r="E841">
        <v>263</v>
      </c>
      <c r="F841">
        <v>20.06699616016239</v>
      </c>
      <c r="G841">
        <v>10.033498080081195</v>
      </c>
      <c r="H841">
        <v>44005</v>
      </c>
      <c r="I841">
        <v>44005</v>
      </c>
    </row>
    <row r="842" spans="1:9" x14ac:dyDescent="0.35">
      <c r="A842" t="s">
        <v>230</v>
      </c>
      <c r="B842" t="s">
        <v>371</v>
      </c>
      <c r="C842" t="s">
        <v>236</v>
      </c>
      <c r="D842" t="s">
        <v>155</v>
      </c>
      <c r="E842">
        <v>1</v>
      </c>
      <c r="F842">
        <v>7.6591588397566496E-2</v>
      </c>
      <c r="G842">
        <v>3.8295794198783248E-2</v>
      </c>
      <c r="H842">
        <v>44005</v>
      </c>
      <c r="I842">
        <v>44005</v>
      </c>
    </row>
    <row r="843" spans="1:9" x14ac:dyDescent="0.35">
      <c r="A843" t="s">
        <v>288</v>
      </c>
      <c r="B843" t="s">
        <v>371</v>
      </c>
      <c r="C843" t="s">
        <v>236</v>
      </c>
      <c r="D843" t="s">
        <v>155</v>
      </c>
      <c r="E843">
        <v>30</v>
      </c>
      <c r="F843">
        <v>2.2594518577282101</v>
      </c>
      <c r="G843">
        <v>1.1297259288641051</v>
      </c>
      <c r="H843">
        <v>44005</v>
      </c>
      <c r="I843">
        <v>44005</v>
      </c>
    </row>
    <row r="844" spans="1:9" x14ac:dyDescent="0.35">
      <c r="A844" t="s">
        <v>193</v>
      </c>
      <c r="B844" t="s">
        <v>371</v>
      </c>
      <c r="C844" t="s">
        <v>236</v>
      </c>
      <c r="D844" t="s">
        <v>155</v>
      </c>
      <c r="E844">
        <v>283</v>
      </c>
      <c r="F844">
        <v>21.675419516511301</v>
      </c>
      <c r="G844">
        <v>10.837709758255651</v>
      </c>
      <c r="H844">
        <v>44005</v>
      </c>
      <c r="I844">
        <v>44005</v>
      </c>
    </row>
    <row r="845" spans="1:9" x14ac:dyDescent="0.35">
      <c r="A845" t="s">
        <v>266</v>
      </c>
      <c r="B845" t="s">
        <v>371</v>
      </c>
      <c r="C845" t="s">
        <v>236</v>
      </c>
      <c r="D845" t="s">
        <v>155</v>
      </c>
      <c r="E845">
        <v>26</v>
      </c>
      <c r="F845">
        <v>1.953085504137944</v>
      </c>
      <c r="G845">
        <v>0.78123420165517765</v>
      </c>
      <c r="H845">
        <v>44005</v>
      </c>
      <c r="I845">
        <v>44005</v>
      </c>
    </row>
    <row r="846" spans="1:9" x14ac:dyDescent="0.35">
      <c r="A846" t="s">
        <v>219</v>
      </c>
      <c r="B846" t="s">
        <v>353</v>
      </c>
      <c r="C846" t="s">
        <v>246</v>
      </c>
      <c r="D846" t="s">
        <v>155</v>
      </c>
      <c r="E846">
        <v>1599</v>
      </c>
      <c r="F846">
        <v>0</v>
      </c>
      <c r="G846">
        <v>134.82134449999998</v>
      </c>
      <c r="H846">
        <v>43964</v>
      </c>
    </row>
    <row r="847" spans="1:9" x14ac:dyDescent="0.35">
      <c r="A847" t="s">
        <v>360</v>
      </c>
      <c r="B847" t="s">
        <v>353</v>
      </c>
      <c r="C847" t="s">
        <v>246</v>
      </c>
      <c r="D847" t="s">
        <v>155</v>
      </c>
      <c r="E847">
        <v>55</v>
      </c>
      <c r="F847">
        <v>0</v>
      </c>
      <c r="G847">
        <v>4.6186414999999998</v>
      </c>
      <c r="H847">
        <v>43964</v>
      </c>
    </row>
    <row r="848" spans="1:9" x14ac:dyDescent="0.35">
      <c r="A848" t="s">
        <v>343</v>
      </c>
      <c r="B848">
        <v>43879</v>
      </c>
      <c r="C848" t="s">
        <v>302</v>
      </c>
      <c r="D848" t="s">
        <v>155</v>
      </c>
      <c r="E848">
        <v>4579338</v>
      </c>
      <c r="F848">
        <v>1416715.4114133511</v>
      </c>
      <c r="G848">
        <v>991700.78798934608</v>
      </c>
    </row>
    <row r="849" spans="1:12" x14ac:dyDescent="0.35">
      <c r="A849" t="s">
        <v>343</v>
      </c>
      <c r="B849">
        <v>43908</v>
      </c>
      <c r="C849" t="s">
        <v>302</v>
      </c>
      <c r="D849" t="s">
        <v>155</v>
      </c>
      <c r="E849">
        <v>3791310</v>
      </c>
      <c r="F849">
        <v>1295094.4237212292</v>
      </c>
      <c r="G849">
        <v>906566.09660486062</v>
      </c>
    </row>
    <row r="850" spans="1:12" x14ac:dyDescent="0.35">
      <c r="A850" t="s">
        <v>343</v>
      </c>
      <c r="B850">
        <v>43939</v>
      </c>
      <c r="C850" t="s">
        <v>302</v>
      </c>
      <c r="D850" t="s">
        <v>155</v>
      </c>
      <c r="E850">
        <v>5928902</v>
      </c>
      <c r="F850">
        <v>1144633.5522363014</v>
      </c>
      <c r="G850">
        <v>801243.48656541738</v>
      </c>
    </row>
    <row r="851" spans="1:12" x14ac:dyDescent="0.35">
      <c r="A851" t="s">
        <v>343</v>
      </c>
      <c r="B851">
        <v>43969</v>
      </c>
      <c r="C851" t="s">
        <v>302</v>
      </c>
      <c r="D851" t="s">
        <v>155</v>
      </c>
      <c r="E851">
        <v>5307634</v>
      </c>
      <c r="F851">
        <v>1017396.9799770865</v>
      </c>
      <c r="G851">
        <v>712177.88598395349</v>
      </c>
    </row>
    <row r="852" spans="1:12" x14ac:dyDescent="0.35">
      <c r="A852" t="s">
        <v>345</v>
      </c>
      <c r="B852" t="s">
        <v>352</v>
      </c>
      <c r="C852" t="s">
        <v>302</v>
      </c>
      <c r="D852" t="s">
        <v>155</v>
      </c>
      <c r="E852">
        <v>1484258</v>
      </c>
      <c r="F852">
        <v>591477.29138243233</v>
      </c>
      <c r="G852">
        <v>295738.64569121617</v>
      </c>
    </row>
    <row r="853" spans="1:12" x14ac:dyDescent="0.35">
      <c r="A853" t="s">
        <v>345</v>
      </c>
      <c r="B853" t="s">
        <v>353</v>
      </c>
      <c r="C853" t="s">
        <v>302</v>
      </c>
      <c r="D853" t="s">
        <v>155</v>
      </c>
      <c r="E853">
        <v>1893209</v>
      </c>
      <c r="F853">
        <v>804378.28168615524</v>
      </c>
      <c r="G853">
        <v>402189.14084307762</v>
      </c>
    </row>
    <row r="854" spans="1:12" x14ac:dyDescent="0.35">
      <c r="A854" t="s">
        <v>345</v>
      </c>
      <c r="B854" t="s">
        <v>371</v>
      </c>
      <c r="C854" t="s">
        <v>302</v>
      </c>
      <c r="D854" t="s">
        <v>155</v>
      </c>
      <c r="E854">
        <v>630140</v>
      </c>
      <c r="F854">
        <v>759385.36602918152</v>
      </c>
      <c r="G854">
        <v>379692.68301459076</v>
      </c>
    </row>
    <row r="855" spans="1:12" x14ac:dyDescent="0.35">
      <c r="A855" t="s">
        <v>345</v>
      </c>
      <c r="B855" t="s">
        <v>372</v>
      </c>
      <c r="C855" t="s">
        <v>302</v>
      </c>
      <c r="D855" t="s">
        <v>155</v>
      </c>
      <c r="E855">
        <v>531769</v>
      </c>
      <c r="F855">
        <v>673509.95110040111</v>
      </c>
      <c r="G855">
        <v>336754.97555020056</v>
      </c>
    </row>
    <row r="856" spans="1:12" x14ac:dyDescent="0.35">
      <c r="A856" t="s">
        <v>373</v>
      </c>
      <c r="B856" t="s">
        <v>370</v>
      </c>
      <c r="C856" t="s">
        <v>302</v>
      </c>
      <c r="D856" t="s">
        <v>155</v>
      </c>
      <c r="E856">
        <v>1519861</v>
      </c>
      <c r="F856">
        <v>314726.02035072597</v>
      </c>
      <c r="G856" t="s">
        <v>153</v>
      </c>
      <c r="H856">
        <v>44018</v>
      </c>
    </row>
    <row r="857" spans="1:12" x14ac:dyDescent="0.35">
      <c r="A857" t="s">
        <v>357</v>
      </c>
      <c r="B857" t="s">
        <v>370</v>
      </c>
      <c r="C857" t="s">
        <v>302</v>
      </c>
      <c r="D857" t="s">
        <v>155</v>
      </c>
      <c r="E857">
        <v>4015</v>
      </c>
      <c r="F857">
        <v>3267.3427247249019</v>
      </c>
      <c r="G857">
        <v>1419.6618342655345</v>
      </c>
      <c r="H857">
        <v>44018</v>
      </c>
    </row>
    <row r="858" spans="1:12" x14ac:dyDescent="0.35">
      <c r="A858" t="s">
        <v>211</v>
      </c>
      <c r="B858" t="s">
        <v>370</v>
      </c>
      <c r="C858" t="s">
        <v>302</v>
      </c>
      <c r="D858" t="s">
        <v>155</v>
      </c>
      <c r="E858">
        <v>8731</v>
      </c>
      <c r="F858">
        <v>986.68854677547517</v>
      </c>
      <c r="G858">
        <v>493.34427338773759</v>
      </c>
      <c r="H858">
        <v>44018</v>
      </c>
      <c r="I858">
        <v>44018</v>
      </c>
      <c r="J858">
        <v>44099</v>
      </c>
      <c r="K858" t="s">
        <v>374</v>
      </c>
      <c r="L858">
        <v>43811</v>
      </c>
    </row>
    <row r="859" spans="1:12" x14ac:dyDescent="0.35">
      <c r="A859" t="s">
        <v>375</v>
      </c>
      <c r="B859" t="s">
        <v>370</v>
      </c>
      <c r="C859" t="s">
        <v>302</v>
      </c>
      <c r="D859" t="s">
        <v>155</v>
      </c>
      <c r="E859">
        <v>13859</v>
      </c>
      <c r="F859">
        <v>6164.7216794992128</v>
      </c>
      <c r="G859">
        <v>3082.3608397496064</v>
      </c>
      <c r="H859">
        <v>44018</v>
      </c>
      <c r="J859" t="s">
        <v>376</v>
      </c>
      <c r="L859">
        <v>44305</v>
      </c>
    </row>
    <row r="860" spans="1:12" x14ac:dyDescent="0.35">
      <c r="A860" t="s">
        <v>152</v>
      </c>
      <c r="B860" t="s">
        <v>370</v>
      </c>
      <c r="C860" t="s">
        <v>302</v>
      </c>
      <c r="D860" t="s">
        <v>155</v>
      </c>
      <c r="E860">
        <v>40049</v>
      </c>
      <c r="F860">
        <v>26473.549564151639</v>
      </c>
      <c r="G860" t="s">
        <v>153</v>
      </c>
      <c r="H860">
        <v>44018</v>
      </c>
    </row>
    <row r="861" spans="1:12" x14ac:dyDescent="0.35">
      <c r="A861" t="s">
        <v>265</v>
      </c>
      <c r="B861" t="s">
        <v>370</v>
      </c>
      <c r="C861" t="s">
        <v>302</v>
      </c>
      <c r="D861" t="s">
        <v>155</v>
      </c>
      <c r="E861">
        <v>13</v>
      </c>
      <c r="F861">
        <v>21.131479281525763</v>
      </c>
      <c r="G861">
        <v>10.565739640762882</v>
      </c>
      <c r="H861">
        <v>44018</v>
      </c>
    </row>
    <row r="862" spans="1:12" x14ac:dyDescent="0.35">
      <c r="A862" t="s">
        <v>232</v>
      </c>
      <c r="B862" t="s">
        <v>370</v>
      </c>
      <c r="C862" t="s">
        <v>302</v>
      </c>
      <c r="D862" t="s">
        <v>155</v>
      </c>
      <c r="E862">
        <v>57388</v>
      </c>
      <c r="F862">
        <v>16604.018127190699</v>
      </c>
      <c r="G862" t="s">
        <v>153</v>
      </c>
      <c r="H862">
        <v>44018</v>
      </c>
    </row>
    <row r="863" spans="1:12" x14ac:dyDescent="0.35">
      <c r="A863" t="s">
        <v>326</v>
      </c>
      <c r="B863" t="s">
        <v>370</v>
      </c>
      <c r="C863" t="s">
        <v>302</v>
      </c>
      <c r="D863" t="s">
        <v>155</v>
      </c>
      <c r="E863">
        <v>306</v>
      </c>
      <c r="F863">
        <v>395.29764969194241</v>
      </c>
      <c r="G863">
        <v>197.64882484597121</v>
      </c>
      <c r="H863">
        <v>44018</v>
      </c>
    </row>
    <row r="864" spans="1:12" x14ac:dyDescent="0.35">
      <c r="A864" t="s">
        <v>313</v>
      </c>
      <c r="B864" t="s">
        <v>370</v>
      </c>
      <c r="C864" t="s">
        <v>302</v>
      </c>
      <c r="D864" t="s">
        <v>155</v>
      </c>
      <c r="E864">
        <v>2985</v>
      </c>
      <c r="F864">
        <v>2919.5178701520463</v>
      </c>
      <c r="G864">
        <v>1459.7589350760231</v>
      </c>
      <c r="H864">
        <v>44018</v>
      </c>
    </row>
    <row r="865" spans="1:12" x14ac:dyDescent="0.35">
      <c r="A865" t="s">
        <v>362</v>
      </c>
      <c r="B865" t="s">
        <v>370</v>
      </c>
      <c r="C865" t="s">
        <v>302</v>
      </c>
      <c r="D865" t="s">
        <v>155</v>
      </c>
      <c r="E865">
        <v>3201</v>
      </c>
      <c r="F865">
        <v>2140.0952809691626</v>
      </c>
      <c r="G865">
        <v>856.03811238766514</v>
      </c>
      <c r="H865">
        <v>44461</v>
      </c>
      <c r="L865">
        <v>44461</v>
      </c>
    </row>
    <row r="866" spans="1:12" x14ac:dyDescent="0.35">
      <c r="A866" t="s">
        <v>329</v>
      </c>
      <c r="B866" t="s">
        <v>370</v>
      </c>
      <c r="C866" t="s">
        <v>302</v>
      </c>
      <c r="D866" t="s">
        <v>155</v>
      </c>
      <c r="E866">
        <v>1205</v>
      </c>
      <c r="F866">
        <v>1668.2009135006856</v>
      </c>
      <c r="G866">
        <v>834.1004567503428</v>
      </c>
      <c r="H866">
        <v>44018</v>
      </c>
      <c r="L866">
        <v>44522</v>
      </c>
    </row>
    <row r="867" spans="1:12" x14ac:dyDescent="0.35">
      <c r="A867" t="s">
        <v>210</v>
      </c>
      <c r="B867" t="s">
        <v>370</v>
      </c>
      <c r="C867" t="s">
        <v>302</v>
      </c>
      <c r="D867" t="s">
        <v>155</v>
      </c>
      <c r="E867">
        <v>204</v>
      </c>
      <c r="F867">
        <v>345.30023857008206</v>
      </c>
      <c r="G867">
        <v>103.59007157102461</v>
      </c>
      <c r="H867">
        <v>44018</v>
      </c>
    </row>
    <row r="868" spans="1:12" x14ac:dyDescent="0.35">
      <c r="A868" t="s">
        <v>364</v>
      </c>
      <c r="B868" t="s">
        <v>370</v>
      </c>
      <c r="C868" t="s">
        <v>302</v>
      </c>
      <c r="D868" t="s">
        <v>155</v>
      </c>
      <c r="E868">
        <v>3051</v>
      </c>
      <c r="F868">
        <v>3288.3978845157021</v>
      </c>
      <c r="G868">
        <v>986.51936535471054</v>
      </c>
      <c r="H868">
        <v>44018</v>
      </c>
    </row>
    <row r="869" spans="1:12" x14ac:dyDescent="0.35">
      <c r="A869" t="s">
        <v>366</v>
      </c>
      <c r="B869" t="s">
        <v>370</v>
      </c>
      <c r="C869" t="s">
        <v>302</v>
      </c>
      <c r="D869" t="s">
        <v>155</v>
      </c>
      <c r="E869">
        <v>4755</v>
      </c>
      <c r="F869">
        <v>5394.938631567542</v>
      </c>
      <c r="G869">
        <v>2697.469315783771</v>
      </c>
      <c r="H869">
        <v>44018</v>
      </c>
      <c r="L869">
        <v>45442</v>
      </c>
    </row>
    <row r="870" spans="1:12" x14ac:dyDescent="0.35">
      <c r="A870" t="s">
        <v>332</v>
      </c>
      <c r="B870" t="s">
        <v>370</v>
      </c>
      <c r="C870" t="s">
        <v>302</v>
      </c>
      <c r="D870" t="s">
        <v>155</v>
      </c>
      <c r="E870">
        <v>3573</v>
      </c>
      <c r="F870">
        <v>4212.1382596871363</v>
      </c>
      <c r="G870">
        <v>1684.8553038748548</v>
      </c>
      <c r="H870">
        <v>44018</v>
      </c>
    </row>
    <row r="871" spans="1:12" x14ac:dyDescent="0.35">
      <c r="A871" t="s">
        <v>314</v>
      </c>
      <c r="B871" t="s">
        <v>370</v>
      </c>
      <c r="C871" t="s">
        <v>302</v>
      </c>
      <c r="D871" t="s">
        <v>155</v>
      </c>
      <c r="E871">
        <v>3573</v>
      </c>
      <c r="F871">
        <v>4212.1382596871363</v>
      </c>
      <c r="G871">
        <v>1264</v>
      </c>
      <c r="H871">
        <v>44018</v>
      </c>
      <c r="J871">
        <v>44099</v>
      </c>
      <c r="K871" t="s">
        <v>374</v>
      </c>
      <c r="L871">
        <v>44294</v>
      </c>
    </row>
    <row r="872" spans="1:12" x14ac:dyDescent="0.35">
      <c r="A872" t="s">
        <v>30</v>
      </c>
      <c r="B872" t="s">
        <v>370</v>
      </c>
      <c r="C872" t="s">
        <v>302</v>
      </c>
      <c r="D872" t="s">
        <v>155</v>
      </c>
      <c r="E872">
        <v>8231</v>
      </c>
      <c r="F872">
        <v>15123.401661975713</v>
      </c>
      <c r="G872">
        <v>4537.0204985927139</v>
      </c>
      <c r="H872">
        <v>44018</v>
      </c>
    </row>
    <row r="873" spans="1:12" x14ac:dyDescent="0.35">
      <c r="A873" t="s">
        <v>347</v>
      </c>
      <c r="B873" t="s">
        <v>370</v>
      </c>
      <c r="C873" t="s">
        <v>302</v>
      </c>
      <c r="D873" t="s">
        <v>155</v>
      </c>
      <c r="E873">
        <v>83</v>
      </c>
      <c r="F873">
        <v>73.425342259214773</v>
      </c>
      <c r="G873">
        <v>22.027602677764428</v>
      </c>
      <c r="H873">
        <v>44018</v>
      </c>
    </row>
    <row r="874" spans="1:12" x14ac:dyDescent="0.35">
      <c r="A874" t="s">
        <v>288</v>
      </c>
      <c r="B874" t="s">
        <v>370</v>
      </c>
      <c r="C874" t="s">
        <v>302</v>
      </c>
      <c r="D874" t="s">
        <v>155</v>
      </c>
      <c r="E874">
        <v>4390791</v>
      </c>
      <c r="F874">
        <v>493519.11491234205</v>
      </c>
      <c r="G874">
        <v>246759.55745617102</v>
      </c>
      <c r="H874">
        <v>44018</v>
      </c>
    </row>
    <row r="875" spans="1:12" x14ac:dyDescent="0.35">
      <c r="A875" t="s">
        <v>359</v>
      </c>
      <c r="B875" t="s">
        <v>370</v>
      </c>
      <c r="C875" t="s">
        <v>302</v>
      </c>
      <c r="D875" t="s">
        <v>155</v>
      </c>
      <c r="E875">
        <v>489</v>
      </c>
      <c r="F875">
        <v>655.83416329025181</v>
      </c>
      <c r="G875">
        <v>327.9170816451259</v>
      </c>
      <c r="H875">
        <v>44018</v>
      </c>
    </row>
    <row r="876" spans="1:12" x14ac:dyDescent="0.35">
      <c r="A876" t="s">
        <v>213</v>
      </c>
      <c r="B876" t="s">
        <v>370</v>
      </c>
      <c r="C876" t="s">
        <v>302</v>
      </c>
      <c r="D876" t="s">
        <v>155</v>
      </c>
      <c r="E876">
        <v>93</v>
      </c>
      <c r="F876">
        <v>64.116613545093657</v>
      </c>
      <c r="G876">
        <v>19.234984063528096</v>
      </c>
      <c r="H876">
        <v>44018</v>
      </c>
    </row>
    <row r="877" spans="1:12" x14ac:dyDescent="0.35">
      <c r="A877" t="s">
        <v>160</v>
      </c>
      <c r="B877" t="s">
        <v>370</v>
      </c>
      <c r="C877" t="s">
        <v>302</v>
      </c>
      <c r="D877" t="s">
        <v>155</v>
      </c>
      <c r="E877">
        <v>58181</v>
      </c>
      <c r="F877">
        <v>66349.370244554826</v>
      </c>
      <c r="G877" t="s">
        <v>153</v>
      </c>
      <c r="H877">
        <v>44018</v>
      </c>
    </row>
    <row r="878" spans="1:12" x14ac:dyDescent="0.35">
      <c r="A878" t="s">
        <v>120</v>
      </c>
      <c r="B878" t="s">
        <v>370</v>
      </c>
      <c r="C878" t="s">
        <v>302</v>
      </c>
      <c r="D878" t="s">
        <v>155</v>
      </c>
      <c r="E878">
        <v>529036</v>
      </c>
      <c r="F878">
        <v>422733.58614971279</v>
      </c>
      <c r="G878" t="s">
        <v>153</v>
      </c>
      <c r="H878">
        <v>44018</v>
      </c>
    </row>
    <row r="879" spans="1:12" x14ac:dyDescent="0.35">
      <c r="A879" t="s">
        <v>190</v>
      </c>
      <c r="B879" t="s">
        <v>370</v>
      </c>
      <c r="C879" t="s">
        <v>302</v>
      </c>
      <c r="D879" t="s">
        <v>155</v>
      </c>
      <c r="E879">
        <v>165249</v>
      </c>
      <c r="F879">
        <v>37643.163850645156</v>
      </c>
      <c r="G879">
        <v>18821.581925322578</v>
      </c>
      <c r="H879">
        <v>44018</v>
      </c>
      <c r="I879">
        <v>44018</v>
      </c>
      <c r="J879">
        <v>44189</v>
      </c>
      <c r="K879" t="s">
        <v>377</v>
      </c>
      <c r="L879">
        <v>44201</v>
      </c>
    </row>
    <row r="880" spans="1:12" x14ac:dyDescent="0.35">
      <c r="A880" t="s">
        <v>162</v>
      </c>
      <c r="B880" t="s">
        <v>370</v>
      </c>
      <c r="C880" t="s">
        <v>302</v>
      </c>
      <c r="D880" t="s">
        <v>155</v>
      </c>
      <c r="E880">
        <v>4972</v>
      </c>
      <c r="F880">
        <v>4848</v>
      </c>
      <c r="G880">
        <v>2909</v>
      </c>
      <c r="H880">
        <v>44018</v>
      </c>
      <c r="I880">
        <v>44018</v>
      </c>
      <c r="J880">
        <v>44099</v>
      </c>
      <c r="K880" t="s">
        <v>374</v>
      </c>
      <c r="L880">
        <v>44263</v>
      </c>
    </row>
    <row r="881" spans="1:13" x14ac:dyDescent="0.35">
      <c r="A881" t="s">
        <v>257</v>
      </c>
      <c r="B881" t="s">
        <v>370</v>
      </c>
      <c r="C881" t="s">
        <v>302</v>
      </c>
      <c r="D881" t="s">
        <v>155</v>
      </c>
      <c r="E881">
        <v>30</v>
      </c>
      <c r="F881">
        <v>3.421388126212936</v>
      </c>
      <c r="G881" t="s">
        <v>153</v>
      </c>
      <c r="H881">
        <v>44018</v>
      </c>
    </row>
    <row r="882" spans="1:13" x14ac:dyDescent="0.35">
      <c r="A882" t="s">
        <v>214</v>
      </c>
      <c r="B882" t="s">
        <v>370</v>
      </c>
      <c r="C882" t="s">
        <v>302</v>
      </c>
      <c r="D882" t="s">
        <v>155</v>
      </c>
      <c r="E882">
        <v>12</v>
      </c>
      <c r="F882">
        <v>10.215256404314571</v>
      </c>
      <c r="G882">
        <v>4.0861025617258289</v>
      </c>
      <c r="H882">
        <v>44018</v>
      </c>
    </row>
    <row r="883" spans="1:13" x14ac:dyDescent="0.35">
      <c r="A883" t="s">
        <v>349</v>
      </c>
      <c r="B883" t="s">
        <v>370</v>
      </c>
      <c r="C883" t="s">
        <v>302</v>
      </c>
      <c r="D883" t="s">
        <v>155</v>
      </c>
      <c r="E883">
        <v>107</v>
      </c>
      <c r="F883">
        <v>79.636225499506835</v>
      </c>
      <c r="G883">
        <v>31.854490199802736</v>
      </c>
      <c r="H883">
        <v>44018</v>
      </c>
    </row>
    <row r="884" spans="1:13" x14ac:dyDescent="0.35">
      <c r="A884" t="s">
        <v>278</v>
      </c>
      <c r="B884" t="s">
        <v>370</v>
      </c>
      <c r="C884" t="s">
        <v>302</v>
      </c>
      <c r="D884" t="s">
        <v>155</v>
      </c>
      <c r="E884">
        <v>52</v>
      </c>
      <c r="F884">
        <v>5.9695880057358437</v>
      </c>
      <c r="G884">
        <v>2.9847940028679218</v>
      </c>
      <c r="H884">
        <v>44018</v>
      </c>
    </row>
    <row r="885" spans="1:13" x14ac:dyDescent="0.35">
      <c r="A885" t="s">
        <v>283</v>
      </c>
      <c r="B885" t="s">
        <v>370</v>
      </c>
      <c r="C885" t="s">
        <v>302</v>
      </c>
      <c r="D885" t="s">
        <v>155</v>
      </c>
      <c r="E885">
        <v>48507</v>
      </c>
      <c r="F885">
        <v>22296.739550911232</v>
      </c>
      <c r="G885">
        <v>11148.369775455616</v>
      </c>
      <c r="H885">
        <v>44018</v>
      </c>
      <c r="I885">
        <v>44018</v>
      </c>
      <c r="K885" t="s">
        <v>378</v>
      </c>
      <c r="L885">
        <v>44109</v>
      </c>
      <c r="M885" t="s">
        <v>340</v>
      </c>
    </row>
    <row r="886" spans="1:13" x14ac:dyDescent="0.35">
      <c r="A886" t="s">
        <v>306</v>
      </c>
      <c r="B886" t="s">
        <v>370</v>
      </c>
      <c r="C886" t="s">
        <v>302</v>
      </c>
      <c r="D886" t="s">
        <v>155</v>
      </c>
      <c r="E886">
        <v>193164</v>
      </c>
      <c r="F886">
        <v>76634.679587319435</v>
      </c>
      <c r="G886" t="s">
        <v>153</v>
      </c>
      <c r="H886">
        <v>44018</v>
      </c>
      <c r="I886">
        <v>44018</v>
      </c>
      <c r="L886">
        <v>44109</v>
      </c>
    </row>
    <row r="887" spans="1:13" x14ac:dyDescent="0.35">
      <c r="A887" t="s">
        <v>279</v>
      </c>
      <c r="B887" t="s">
        <v>370</v>
      </c>
      <c r="C887" t="s">
        <v>302</v>
      </c>
      <c r="D887" t="s">
        <v>155</v>
      </c>
      <c r="E887">
        <v>51645</v>
      </c>
      <c r="F887">
        <v>6284.6939096838514</v>
      </c>
      <c r="G887">
        <v>3142.3469548419257</v>
      </c>
      <c r="H887">
        <v>44018</v>
      </c>
    </row>
    <row r="888" spans="1:13" x14ac:dyDescent="0.35">
      <c r="A888" t="s">
        <v>151</v>
      </c>
      <c r="B888" t="s">
        <v>370</v>
      </c>
      <c r="C888" t="s">
        <v>302</v>
      </c>
      <c r="D888" t="s">
        <v>155</v>
      </c>
      <c r="E888">
        <v>417060</v>
      </c>
      <c r="F888">
        <v>495092.35494543141</v>
      </c>
      <c r="G888">
        <v>297055.41296725784</v>
      </c>
      <c r="H888">
        <v>44018</v>
      </c>
    </row>
    <row r="889" spans="1:13" x14ac:dyDescent="0.35">
      <c r="A889" t="s">
        <v>193</v>
      </c>
      <c r="B889" t="s">
        <v>370</v>
      </c>
      <c r="C889" t="s">
        <v>302</v>
      </c>
      <c r="D889" t="s">
        <v>155</v>
      </c>
      <c r="E889">
        <v>1809</v>
      </c>
      <c r="F889">
        <v>2128.1383166787705</v>
      </c>
      <c r="G889">
        <v>1064.0691583393852</v>
      </c>
      <c r="H889">
        <v>44018</v>
      </c>
      <c r="I889">
        <v>44018</v>
      </c>
    </row>
    <row r="890" spans="1:13" x14ac:dyDescent="0.35">
      <c r="A890" t="s">
        <v>215</v>
      </c>
      <c r="B890" t="s">
        <v>370</v>
      </c>
      <c r="C890" t="s">
        <v>302</v>
      </c>
      <c r="D890" t="s">
        <v>155</v>
      </c>
      <c r="E890">
        <v>92</v>
      </c>
      <c r="F890">
        <v>28.532947394595446</v>
      </c>
      <c r="G890">
        <v>14.266473697297723</v>
      </c>
      <c r="H890">
        <v>44018</v>
      </c>
    </row>
    <row r="891" spans="1:13" x14ac:dyDescent="0.35">
      <c r="A891" t="s">
        <v>266</v>
      </c>
      <c r="B891" t="s">
        <v>370</v>
      </c>
      <c r="C891" t="s">
        <v>302</v>
      </c>
      <c r="D891" t="s">
        <v>155</v>
      </c>
      <c r="E891">
        <v>1930</v>
      </c>
      <c r="F891">
        <v>2203.7862877410644</v>
      </c>
      <c r="G891">
        <v>881.51451509642538</v>
      </c>
      <c r="H891">
        <v>44018</v>
      </c>
    </row>
    <row r="892" spans="1:13" x14ac:dyDescent="0.35">
      <c r="A892" t="s">
        <v>267</v>
      </c>
      <c r="B892" t="s">
        <v>370</v>
      </c>
      <c r="C892" t="s">
        <v>302</v>
      </c>
      <c r="D892" t="s">
        <v>155</v>
      </c>
      <c r="E892">
        <v>132261</v>
      </c>
      <c r="F892">
        <v>166999.14325619602</v>
      </c>
      <c r="G892" t="s">
        <v>153</v>
      </c>
      <c r="H892">
        <v>44018</v>
      </c>
    </row>
    <row r="893" spans="1:13" x14ac:dyDescent="0.35">
      <c r="A893" t="s">
        <v>342</v>
      </c>
      <c r="B893" t="s">
        <v>370</v>
      </c>
      <c r="C893" t="s">
        <v>302</v>
      </c>
      <c r="D893" t="s">
        <v>155</v>
      </c>
      <c r="E893">
        <v>2475108</v>
      </c>
      <c r="F893">
        <v>539307.08320078079</v>
      </c>
      <c r="G893" t="s">
        <v>153</v>
      </c>
      <c r="H893">
        <v>44018</v>
      </c>
    </row>
    <row r="894" spans="1:13" x14ac:dyDescent="0.35">
      <c r="A894" t="s">
        <v>186</v>
      </c>
      <c r="B894" t="s">
        <v>370</v>
      </c>
      <c r="C894" t="s">
        <v>302</v>
      </c>
      <c r="D894" t="s">
        <v>155</v>
      </c>
      <c r="E894">
        <v>116252</v>
      </c>
      <c r="F894">
        <v>13952.537660376958</v>
      </c>
      <c r="G894">
        <v>6976.2688301884791</v>
      </c>
      <c r="H894">
        <v>44018</v>
      </c>
    </row>
    <row r="895" spans="1:13" x14ac:dyDescent="0.35">
      <c r="A895" t="s">
        <v>315</v>
      </c>
      <c r="B895" t="s">
        <v>370</v>
      </c>
      <c r="C895" t="s">
        <v>302</v>
      </c>
      <c r="D895" t="s">
        <v>155</v>
      </c>
      <c r="E895">
        <v>4431946</v>
      </c>
      <c r="F895">
        <v>5737242.373272704</v>
      </c>
      <c r="G895" t="s">
        <v>153</v>
      </c>
      <c r="H895">
        <v>44018</v>
      </c>
    </row>
    <row r="896" spans="1:13" x14ac:dyDescent="0.35">
      <c r="A896" t="s">
        <v>268</v>
      </c>
      <c r="B896" t="s">
        <v>370</v>
      </c>
      <c r="C896" t="s">
        <v>302</v>
      </c>
      <c r="D896" t="s">
        <v>155</v>
      </c>
      <c r="E896">
        <v>1529</v>
      </c>
      <c r="F896">
        <v>1525.359679083896</v>
      </c>
      <c r="G896">
        <v>610.14387163355821</v>
      </c>
      <c r="H896">
        <v>44018</v>
      </c>
    </row>
    <row r="897" spans="1:12" x14ac:dyDescent="0.35">
      <c r="A897" t="s">
        <v>258</v>
      </c>
      <c r="B897" t="s">
        <v>370</v>
      </c>
      <c r="C897" t="s">
        <v>302</v>
      </c>
      <c r="D897" t="s">
        <v>155</v>
      </c>
      <c r="E897">
        <v>227</v>
      </c>
      <c r="F897">
        <v>25.776242131168967</v>
      </c>
      <c r="G897" t="s">
        <v>153</v>
      </c>
      <c r="H897">
        <v>44018</v>
      </c>
    </row>
    <row r="898" spans="1:12" x14ac:dyDescent="0.35">
      <c r="A898" t="s">
        <v>367</v>
      </c>
      <c r="B898" t="s">
        <v>370</v>
      </c>
      <c r="C898" t="s">
        <v>302</v>
      </c>
      <c r="D898" t="s">
        <v>155</v>
      </c>
      <c r="E898">
        <v>48830</v>
      </c>
      <c r="F898">
        <v>6124.207122530368</v>
      </c>
      <c r="G898" t="s">
        <v>153</v>
      </c>
      <c r="H898">
        <v>44018</v>
      </c>
    </row>
    <row r="899" spans="1:12" x14ac:dyDescent="0.35">
      <c r="A899" t="s">
        <v>219</v>
      </c>
      <c r="B899" t="s">
        <v>353</v>
      </c>
      <c r="C899" t="s">
        <v>290</v>
      </c>
      <c r="D899" t="s">
        <v>155</v>
      </c>
      <c r="E899">
        <v>1528</v>
      </c>
      <c r="F899">
        <v>67.303280832294249</v>
      </c>
      <c r="G899">
        <v>33.651640416147124</v>
      </c>
      <c r="H899">
        <v>44027</v>
      </c>
    </row>
    <row r="900" spans="1:12" x14ac:dyDescent="0.35">
      <c r="A900" t="s">
        <v>287</v>
      </c>
      <c r="B900" t="s">
        <v>353</v>
      </c>
      <c r="C900" t="s">
        <v>290</v>
      </c>
      <c r="D900" t="s">
        <v>155</v>
      </c>
      <c r="E900">
        <v>225</v>
      </c>
      <c r="F900">
        <v>9.9104961958548454</v>
      </c>
      <c r="G900">
        <v>4.9552480979274227</v>
      </c>
      <c r="H900">
        <v>44027</v>
      </c>
    </row>
    <row r="901" spans="1:12" x14ac:dyDescent="0.35">
      <c r="A901" t="s">
        <v>266</v>
      </c>
      <c r="B901" t="s">
        <v>353</v>
      </c>
      <c r="C901" t="s">
        <v>290</v>
      </c>
      <c r="D901" t="s">
        <v>155</v>
      </c>
      <c r="E901">
        <v>600</v>
      </c>
      <c r="F901">
        <v>26.427989855612921</v>
      </c>
      <c r="G901">
        <v>10.571195942245168</v>
      </c>
      <c r="H901">
        <v>44027</v>
      </c>
    </row>
    <row r="902" spans="1:12" x14ac:dyDescent="0.35">
      <c r="A902" t="s">
        <v>379</v>
      </c>
      <c r="B902" t="s">
        <v>380</v>
      </c>
      <c r="C902" t="s">
        <v>302</v>
      </c>
      <c r="D902" t="s">
        <v>155</v>
      </c>
      <c r="E902">
        <v>772</v>
      </c>
      <c r="F902">
        <v>1033.9234753898036</v>
      </c>
      <c r="G902">
        <v>516.96173769490179</v>
      </c>
      <c r="H902">
        <v>44124</v>
      </c>
    </row>
    <row r="903" spans="1:12" x14ac:dyDescent="0.35">
      <c r="A903" t="s">
        <v>343</v>
      </c>
      <c r="B903" t="s">
        <v>380</v>
      </c>
      <c r="C903" t="s">
        <v>302</v>
      </c>
      <c r="D903" t="s">
        <v>155</v>
      </c>
      <c r="E903">
        <v>804670</v>
      </c>
      <c r="F903">
        <v>1278725.1770117297</v>
      </c>
      <c r="G903">
        <v>895107.62390822161</v>
      </c>
      <c r="H903">
        <v>44124</v>
      </c>
    </row>
    <row r="904" spans="1:12" x14ac:dyDescent="0.35">
      <c r="A904" t="s">
        <v>373</v>
      </c>
      <c r="B904" t="s">
        <v>380</v>
      </c>
      <c r="C904" t="s">
        <v>302</v>
      </c>
      <c r="D904" t="s">
        <v>155</v>
      </c>
      <c r="E904">
        <v>243137</v>
      </c>
      <c r="F904">
        <v>532847.64706077043</v>
      </c>
      <c r="G904" t="s">
        <v>153</v>
      </c>
      <c r="H904">
        <v>44124</v>
      </c>
    </row>
    <row r="905" spans="1:12" x14ac:dyDescent="0.35">
      <c r="A905" t="s">
        <v>339</v>
      </c>
      <c r="B905" t="s">
        <v>380</v>
      </c>
      <c r="C905" t="s">
        <v>302</v>
      </c>
      <c r="D905" t="s">
        <v>155</v>
      </c>
      <c r="E905">
        <v>29137</v>
      </c>
      <c r="F905">
        <v>2530.3993699629009</v>
      </c>
      <c r="G905" t="s">
        <v>153</v>
      </c>
      <c r="H905">
        <v>44124</v>
      </c>
    </row>
    <row r="906" spans="1:12" x14ac:dyDescent="0.35">
      <c r="A906" t="s">
        <v>381</v>
      </c>
      <c r="B906" t="s">
        <v>380</v>
      </c>
      <c r="C906" t="s">
        <v>302</v>
      </c>
      <c r="D906" t="s">
        <v>155</v>
      </c>
      <c r="E906">
        <v>34</v>
      </c>
      <c r="F906">
        <v>56.731104283827236</v>
      </c>
      <c r="G906">
        <v>22.692441713530897</v>
      </c>
      <c r="H906">
        <v>44124</v>
      </c>
    </row>
    <row r="907" spans="1:12" x14ac:dyDescent="0.35">
      <c r="A907" t="s">
        <v>211</v>
      </c>
      <c r="B907" t="s">
        <v>380</v>
      </c>
      <c r="C907" t="s">
        <v>302</v>
      </c>
      <c r="D907" t="s">
        <v>155</v>
      </c>
      <c r="E907">
        <v>4275</v>
      </c>
      <c r="F907">
        <v>445.20020359963291</v>
      </c>
      <c r="G907">
        <v>222.60010179981646</v>
      </c>
      <c r="H907">
        <v>44124</v>
      </c>
      <c r="I907">
        <v>44124</v>
      </c>
      <c r="J907">
        <v>44149</v>
      </c>
      <c r="K907" t="s">
        <v>382</v>
      </c>
      <c r="L907">
        <v>43811</v>
      </c>
    </row>
    <row r="908" spans="1:12" x14ac:dyDescent="0.35">
      <c r="A908" t="s">
        <v>383</v>
      </c>
      <c r="B908" t="s">
        <v>380</v>
      </c>
      <c r="C908" t="s">
        <v>302</v>
      </c>
      <c r="D908" t="s">
        <v>155</v>
      </c>
      <c r="E908">
        <v>6428</v>
      </c>
      <c r="F908">
        <v>8288.7010120024461</v>
      </c>
      <c r="G908">
        <v>3315.4804048009782</v>
      </c>
      <c r="H908">
        <v>44124</v>
      </c>
      <c r="I908">
        <v>44124</v>
      </c>
      <c r="J908">
        <v>44168</v>
      </c>
      <c r="K908" t="s">
        <v>384</v>
      </c>
      <c r="L908">
        <v>44180</v>
      </c>
    </row>
    <row r="909" spans="1:12" x14ac:dyDescent="0.35">
      <c r="A909" t="s">
        <v>357</v>
      </c>
      <c r="B909" t="s">
        <v>380</v>
      </c>
      <c r="C909" t="s">
        <v>302</v>
      </c>
      <c r="D909" t="s">
        <v>155</v>
      </c>
      <c r="E909">
        <v>781</v>
      </c>
      <c r="F909">
        <v>1154.4784438880124</v>
      </c>
      <c r="G909">
        <v>542.46189383576507</v>
      </c>
      <c r="H909">
        <v>44124</v>
      </c>
    </row>
    <row r="910" spans="1:12" x14ac:dyDescent="0.35">
      <c r="A910" t="s">
        <v>375</v>
      </c>
      <c r="B910" t="s">
        <v>380</v>
      </c>
      <c r="C910" t="s">
        <v>302</v>
      </c>
      <c r="D910" t="s">
        <v>155</v>
      </c>
      <c r="E910">
        <v>147785</v>
      </c>
      <c r="F910">
        <v>20354.439491446257</v>
      </c>
      <c r="G910">
        <v>10177.219745723129</v>
      </c>
      <c r="H910">
        <v>44124</v>
      </c>
      <c r="J910">
        <v>44168</v>
      </c>
      <c r="K910" t="s">
        <v>385</v>
      </c>
      <c r="L910">
        <v>44305</v>
      </c>
    </row>
    <row r="911" spans="1:12" x14ac:dyDescent="0.35">
      <c r="A911" t="s">
        <v>386</v>
      </c>
      <c r="B911" t="s">
        <v>380</v>
      </c>
      <c r="C911" t="s">
        <v>302</v>
      </c>
      <c r="D911" t="s">
        <v>155</v>
      </c>
      <c r="E911">
        <v>567</v>
      </c>
      <c r="F911">
        <v>1037.6691023569686</v>
      </c>
      <c r="G911">
        <v>518.83455117848428</v>
      </c>
      <c r="H911">
        <v>44124</v>
      </c>
      <c r="L911">
        <v>45106</v>
      </c>
    </row>
    <row r="912" spans="1:12" x14ac:dyDescent="0.35">
      <c r="A912" t="s">
        <v>152</v>
      </c>
      <c r="B912" t="s">
        <v>380</v>
      </c>
      <c r="C912" t="s">
        <v>302</v>
      </c>
      <c r="D912" t="s">
        <v>155</v>
      </c>
      <c r="E912">
        <v>27297</v>
      </c>
      <c r="F912">
        <v>34640.292462738347</v>
      </c>
      <c r="G912" t="s">
        <v>153</v>
      </c>
      <c r="H912">
        <v>44124</v>
      </c>
    </row>
    <row r="913" spans="1:12" x14ac:dyDescent="0.35">
      <c r="A913" t="s">
        <v>265</v>
      </c>
      <c r="B913" t="s">
        <v>380</v>
      </c>
      <c r="C913" t="s">
        <v>302</v>
      </c>
      <c r="D913" t="s">
        <v>155</v>
      </c>
      <c r="E913">
        <v>4</v>
      </c>
      <c r="F913">
        <v>4.2672487361491935</v>
      </c>
      <c r="G913">
        <v>2.1336243680745968</v>
      </c>
      <c r="H913">
        <v>44124</v>
      </c>
    </row>
    <row r="914" spans="1:12" x14ac:dyDescent="0.35">
      <c r="A914" t="s">
        <v>232</v>
      </c>
      <c r="B914" t="s">
        <v>380</v>
      </c>
      <c r="C914" t="s">
        <v>302</v>
      </c>
      <c r="D914" t="s">
        <v>155</v>
      </c>
      <c r="E914">
        <v>23251</v>
      </c>
      <c r="F914">
        <v>28400.880395890759</v>
      </c>
      <c r="G914" t="s">
        <v>153</v>
      </c>
      <c r="H914">
        <v>44124</v>
      </c>
    </row>
    <row r="915" spans="1:12" x14ac:dyDescent="0.35">
      <c r="A915" t="s">
        <v>326</v>
      </c>
      <c r="B915" t="s">
        <v>380</v>
      </c>
      <c r="C915" t="s">
        <v>302</v>
      </c>
      <c r="D915" t="s">
        <v>155</v>
      </c>
      <c r="E915">
        <v>428</v>
      </c>
      <c r="F915">
        <v>534.36998501411119</v>
      </c>
      <c r="G915">
        <v>267.1849925070556</v>
      </c>
      <c r="H915">
        <v>44124</v>
      </c>
    </row>
    <row r="916" spans="1:12" x14ac:dyDescent="0.35">
      <c r="A916" t="s">
        <v>313</v>
      </c>
      <c r="B916" t="s">
        <v>380</v>
      </c>
      <c r="C916" t="s">
        <v>302</v>
      </c>
      <c r="D916" t="s">
        <v>155</v>
      </c>
      <c r="E916">
        <v>2125</v>
      </c>
      <c r="F916">
        <v>3401.4142655234718</v>
      </c>
      <c r="G916">
        <v>1700.7071327617359</v>
      </c>
      <c r="H916">
        <v>44124</v>
      </c>
    </row>
    <row r="917" spans="1:12" x14ac:dyDescent="0.35">
      <c r="A917" t="s">
        <v>362</v>
      </c>
      <c r="B917" t="s">
        <v>380</v>
      </c>
      <c r="C917" t="s">
        <v>302</v>
      </c>
      <c r="D917" t="s">
        <v>155</v>
      </c>
      <c r="E917">
        <v>2371</v>
      </c>
      <c r="F917">
        <v>546.50739403361649</v>
      </c>
      <c r="G917">
        <v>218.60295761344668</v>
      </c>
      <c r="H917">
        <v>44124</v>
      </c>
      <c r="L917">
        <v>44461</v>
      </c>
    </row>
    <row r="918" spans="1:12" x14ac:dyDescent="0.35">
      <c r="A918" t="s">
        <v>387</v>
      </c>
      <c r="B918" t="s">
        <v>380</v>
      </c>
      <c r="C918" t="s">
        <v>302</v>
      </c>
      <c r="D918" t="s">
        <v>155</v>
      </c>
      <c r="E918">
        <v>15635</v>
      </c>
      <c r="F918">
        <v>19725.351352319369</v>
      </c>
      <c r="G918">
        <v>11835.210811391622</v>
      </c>
      <c r="H918">
        <v>44124</v>
      </c>
      <c r="J918">
        <v>44168</v>
      </c>
      <c r="L918">
        <v>44174</v>
      </c>
    </row>
    <row r="919" spans="1:12" x14ac:dyDescent="0.35">
      <c r="A919" t="s">
        <v>329</v>
      </c>
      <c r="B919" t="s">
        <v>380</v>
      </c>
      <c r="C919" t="s">
        <v>302</v>
      </c>
      <c r="D919" t="s">
        <v>155</v>
      </c>
      <c r="E919">
        <v>1282</v>
      </c>
      <c r="F919">
        <v>1114.674552456798</v>
      </c>
      <c r="G919">
        <v>557.33727622839899</v>
      </c>
      <c r="H919">
        <v>44124</v>
      </c>
      <c r="L919">
        <v>44522</v>
      </c>
    </row>
    <row r="920" spans="1:12" x14ac:dyDescent="0.35">
      <c r="A920" t="s">
        <v>210</v>
      </c>
      <c r="B920" t="s">
        <v>380</v>
      </c>
      <c r="C920" t="s">
        <v>302</v>
      </c>
      <c r="D920" t="s">
        <v>155</v>
      </c>
      <c r="E920">
        <v>145</v>
      </c>
      <c r="F920">
        <v>237.87120724253248</v>
      </c>
      <c r="G920">
        <v>71.36136217275974</v>
      </c>
      <c r="H920">
        <v>44124</v>
      </c>
    </row>
    <row r="921" spans="1:12" x14ac:dyDescent="0.35">
      <c r="A921" t="s">
        <v>364</v>
      </c>
      <c r="B921" t="s">
        <v>380</v>
      </c>
      <c r="C921" t="s">
        <v>302</v>
      </c>
      <c r="D921" t="s">
        <v>155</v>
      </c>
      <c r="E921">
        <v>4378</v>
      </c>
      <c r="F921">
        <v>5386.0606176567435</v>
      </c>
      <c r="G921">
        <v>1615.8181852970229</v>
      </c>
      <c r="H921">
        <v>44124</v>
      </c>
    </row>
    <row r="922" spans="1:12" x14ac:dyDescent="0.35">
      <c r="A922" t="s">
        <v>366</v>
      </c>
      <c r="B922" t="s">
        <v>380</v>
      </c>
      <c r="C922" t="s">
        <v>302</v>
      </c>
      <c r="D922" t="s">
        <v>155</v>
      </c>
      <c r="E922">
        <v>917</v>
      </c>
      <c r="F922">
        <v>1158.5465359807813</v>
      </c>
      <c r="G922">
        <v>579.27326799039065</v>
      </c>
      <c r="H922">
        <v>44124</v>
      </c>
      <c r="L922">
        <v>45442</v>
      </c>
    </row>
    <row r="923" spans="1:12" x14ac:dyDescent="0.35">
      <c r="A923" t="s">
        <v>332</v>
      </c>
      <c r="B923" t="s">
        <v>380</v>
      </c>
      <c r="C923" t="s">
        <v>302</v>
      </c>
      <c r="D923" t="s">
        <v>155</v>
      </c>
      <c r="E923">
        <v>1370</v>
      </c>
      <c r="F923">
        <v>1836.2129666848857</v>
      </c>
      <c r="G923">
        <v>734.48518667395433</v>
      </c>
      <c r="H923">
        <v>44124</v>
      </c>
    </row>
    <row r="924" spans="1:12" x14ac:dyDescent="0.35">
      <c r="A924" t="s">
        <v>314</v>
      </c>
      <c r="B924" t="s">
        <v>380</v>
      </c>
      <c r="C924" t="s">
        <v>302</v>
      </c>
      <c r="D924" t="s">
        <v>155</v>
      </c>
      <c r="E924">
        <v>4255</v>
      </c>
      <c r="F924">
        <v>12531.01407254687</v>
      </c>
      <c r="G924">
        <v>3759.3042217640605</v>
      </c>
      <c r="H924">
        <v>44124</v>
      </c>
      <c r="J924">
        <v>44149</v>
      </c>
      <c r="K924" t="s">
        <v>382</v>
      </c>
      <c r="L924">
        <v>44294</v>
      </c>
    </row>
    <row r="925" spans="1:12" x14ac:dyDescent="0.35">
      <c r="A925" t="s">
        <v>30</v>
      </c>
      <c r="B925" t="s">
        <v>380</v>
      </c>
      <c r="C925" t="s">
        <v>302</v>
      </c>
      <c r="D925" t="s">
        <v>155</v>
      </c>
      <c r="E925">
        <v>22737</v>
      </c>
      <c r="F925">
        <v>43012.871119565076</v>
      </c>
      <c r="G925">
        <v>21506.435559782538</v>
      </c>
      <c r="H925">
        <v>44124</v>
      </c>
    </row>
    <row r="926" spans="1:12" x14ac:dyDescent="0.35">
      <c r="A926" t="s">
        <v>347</v>
      </c>
      <c r="B926" t="s">
        <v>380</v>
      </c>
      <c r="C926" t="s">
        <v>302</v>
      </c>
      <c r="D926" t="s">
        <v>155</v>
      </c>
      <c r="E926">
        <v>103</v>
      </c>
      <c r="F926">
        <v>125.6368981544029</v>
      </c>
      <c r="G926">
        <v>37.691069446320867</v>
      </c>
      <c r="H926">
        <v>44124</v>
      </c>
    </row>
    <row r="927" spans="1:12" x14ac:dyDescent="0.35">
      <c r="A927" t="s">
        <v>388</v>
      </c>
      <c r="B927" t="s">
        <v>380</v>
      </c>
      <c r="C927" t="s">
        <v>302</v>
      </c>
      <c r="D927" t="s">
        <v>155</v>
      </c>
      <c r="E927">
        <v>6939</v>
      </c>
      <c r="F927">
        <v>16496.731741882973</v>
      </c>
      <c r="G927">
        <v>8248.3658709414867</v>
      </c>
      <c r="H927">
        <v>44124</v>
      </c>
      <c r="J927">
        <v>44149</v>
      </c>
      <c r="K927" t="s">
        <v>389</v>
      </c>
      <c r="L927">
        <v>44174</v>
      </c>
    </row>
    <row r="928" spans="1:12" x14ac:dyDescent="0.35">
      <c r="A928" t="s">
        <v>288</v>
      </c>
      <c r="B928" t="s">
        <v>380</v>
      </c>
      <c r="C928" t="s">
        <v>302</v>
      </c>
      <c r="D928" t="s">
        <v>155</v>
      </c>
      <c r="E928">
        <v>95</v>
      </c>
      <c r="F928">
        <v>255.49167702965573</v>
      </c>
      <c r="G928">
        <v>127.74583851482787</v>
      </c>
      <c r="H928">
        <v>44124</v>
      </c>
    </row>
    <row r="929" spans="1:13" x14ac:dyDescent="0.35">
      <c r="A929" t="s">
        <v>359</v>
      </c>
      <c r="B929" t="s">
        <v>380</v>
      </c>
      <c r="C929" t="s">
        <v>302</v>
      </c>
      <c r="D929" t="s">
        <v>155</v>
      </c>
      <c r="E929">
        <v>61</v>
      </c>
      <c r="F929">
        <v>118.0669849865685</v>
      </c>
      <c r="G929">
        <v>59.03349249328425</v>
      </c>
      <c r="H929">
        <v>44124</v>
      </c>
    </row>
    <row r="930" spans="1:13" x14ac:dyDescent="0.35">
      <c r="A930" t="s">
        <v>213</v>
      </c>
      <c r="B930" t="s">
        <v>380</v>
      </c>
      <c r="C930" t="s">
        <v>302</v>
      </c>
      <c r="D930" t="s">
        <v>155</v>
      </c>
      <c r="E930">
        <v>43</v>
      </c>
      <c r="F930">
        <v>40.50029727969914</v>
      </c>
      <c r="G930">
        <v>12.150089183909742</v>
      </c>
      <c r="H930">
        <v>44124</v>
      </c>
    </row>
    <row r="931" spans="1:13" x14ac:dyDescent="0.35">
      <c r="A931" t="s">
        <v>160</v>
      </c>
      <c r="B931" t="s">
        <v>380</v>
      </c>
      <c r="C931" t="s">
        <v>302</v>
      </c>
      <c r="D931" t="s">
        <v>155</v>
      </c>
      <c r="E931">
        <v>109833</v>
      </c>
      <c r="F931">
        <v>134417.05274985061</v>
      </c>
      <c r="G931" t="s">
        <v>153</v>
      </c>
      <c r="H931">
        <v>44124</v>
      </c>
    </row>
    <row r="932" spans="1:13" x14ac:dyDescent="0.35">
      <c r="A932" t="s">
        <v>120</v>
      </c>
      <c r="B932" t="s">
        <v>380</v>
      </c>
      <c r="C932" t="s">
        <v>302</v>
      </c>
      <c r="D932" t="s">
        <v>155</v>
      </c>
      <c r="E932">
        <v>142323</v>
      </c>
      <c r="F932">
        <v>211471.40053065284</v>
      </c>
      <c r="G932" t="s">
        <v>153</v>
      </c>
      <c r="H932">
        <v>44124</v>
      </c>
    </row>
    <row r="933" spans="1:13" x14ac:dyDescent="0.35">
      <c r="A933" t="s">
        <v>190</v>
      </c>
      <c r="B933" t="s">
        <v>380</v>
      </c>
      <c r="C933" t="s">
        <v>302</v>
      </c>
      <c r="D933" t="s">
        <v>155</v>
      </c>
      <c r="E933">
        <v>24481</v>
      </c>
      <c r="F933">
        <v>30415.693096989369</v>
      </c>
      <c r="G933">
        <v>15207.846548494685</v>
      </c>
      <c r="H933">
        <v>44124</v>
      </c>
      <c r="I933">
        <v>44124</v>
      </c>
      <c r="J933">
        <v>44149</v>
      </c>
      <c r="K933" t="s">
        <v>382</v>
      </c>
      <c r="L933">
        <v>44201</v>
      </c>
    </row>
    <row r="934" spans="1:13" x14ac:dyDescent="0.35">
      <c r="A934" t="s">
        <v>162</v>
      </c>
      <c r="B934" t="s">
        <v>380</v>
      </c>
      <c r="C934" t="s">
        <v>302</v>
      </c>
      <c r="D934" t="s">
        <v>155</v>
      </c>
      <c r="E934">
        <v>16057</v>
      </c>
      <c r="F934">
        <v>18099.340440741144</v>
      </c>
      <c r="G934">
        <v>10859.604264444497</v>
      </c>
      <c r="H934">
        <v>44124</v>
      </c>
      <c r="I934">
        <v>44124</v>
      </c>
      <c r="J934">
        <v>44149</v>
      </c>
      <c r="K934" t="s">
        <v>382</v>
      </c>
      <c r="L934">
        <v>44263</v>
      </c>
    </row>
    <row r="935" spans="1:13" x14ac:dyDescent="0.35">
      <c r="A935" t="s">
        <v>345</v>
      </c>
      <c r="B935" t="s">
        <v>380</v>
      </c>
      <c r="C935" t="s">
        <v>302</v>
      </c>
      <c r="D935" t="s">
        <v>155</v>
      </c>
      <c r="E935">
        <v>1098100</v>
      </c>
      <c r="F935">
        <v>1513908.7978544727</v>
      </c>
      <c r="G935">
        <v>756954.39892723633</v>
      </c>
      <c r="H935">
        <v>44124</v>
      </c>
    </row>
    <row r="936" spans="1:13" x14ac:dyDescent="0.35">
      <c r="A936" t="s">
        <v>214</v>
      </c>
      <c r="B936" t="s">
        <v>380</v>
      </c>
      <c r="C936" t="s">
        <v>302</v>
      </c>
      <c r="D936" t="s">
        <v>155</v>
      </c>
      <c r="E936">
        <v>3</v>
      </c>
      <c r="F936">
        <v>9.2363767431863462</v>
      </c>
      <c r="G936">
        <v>3.6945506972745386</v>
      </c>
      <c r="H936">
        <v>44124</v>
      </c>
    </row>
    <row r="937" spans="1:13" x14ac:dyDescent="0.35">
      <c r="A937" t="s">
        <v>390</v>
      </c>
      <c r="B937" t="s">
        <v>380</v>
      </c>
      <c r="C937" t="s">
        <v>302</v>
      </c>
      <c r="D937" t="s">
        <v>155</v>
      </c>
      <c r="E937">
        <v>114127</v>
      </c>
      <c r="F937">
        <v>142385.32311819194</v>
      </c>
      <c r="G937">
        <v>71192.66155909597</v>
      </c>
      <c r="H937">
        <v>44124</v>
      </c>
      <c r="I937">
        <v>44124</v>
      </c>
      <c r="J937">
        <v>44168</v>
      </c>
      <c r="K937" t="s">
        <v>382</v>
      </c>
      <c r="L937">
        <v>44177</v>
      </c>
    </row>
    <row r="938" spans="1:13" x14ac:dyDescent="0.35">
      <c r="A938" t="s">
        <v>349</v>
      </c>
      <c r="B938" t="s">
        <v>380</v>
      </c>
      <c r="C938" t="s">
        <v>302</v>
      </c>
      <c r="D938" t="s">
        <v>155</v>
      </c>
      <c r="E938">
        <v>76</v>
      </c>
      <c r="F938">
        <v>90.234402640651922</v>
      </c>
      <c r="G938">
        <v>36.093761056260774</v>
      </c>
      <c r="H938">
        <v>44124</v>
      </c>
    </row>
    <row r="939" spans="1:13" x14ac:dyDescent="0.35">
      <c r="A939" t="s">
        <v>283</v>
      </c>
      <c r="B939" t="s">
        <v>380</v>
      </c>
      <c r="C939" t="s">
        <v>302</v>
      </c>
      <c r="D939" t="s">
        <v>155</v>
      </c>
      <c r="E939">
        <v>63309</v>
      </c>
      <c r="F939">
        <v>44802.124354400432</v>
      </c>
      <c r="G939">
        <v>22401.062177200216</v>
      </c>
      <c r="H939">
        <v>44124</v>
      </c>
      <c r="L939">
        <v>44173</v>
      </c>
      <c r="M939" t="s">
        <v>391</v>
      </c>
    </row>
    <row r="940" spans="1:13" x14ac:dyDescent="0.35">
      <c r="A940" t="s">
        <v>306</v>
      </c>
      <c r="B940" t="s">
        <v>380</v>
      </c>
      <c r="C940" t="s">
        <v>302</v>
      </c>
      <c r="D940" t="s">
        <v>155</v>
      </c>
      <c r="E940">
        <v>143640</v>
      </c>
      <c r="F940">
        <v>71834.788172307875</v>
      </c>
      <c r="G940" t="s">
        <v>153</v>
      </c>
      <c r="H940">
        <v>44124</v>
      </c>
      <c r="L940">
        <v>44173</v>
      </c>
    </row>
    <row r="941" spans="1:13" x14ac:dyDescent="0.35">
      <c r="A941" t="s">
        <v>279</v>
      </c>
      <c r="B941" t="s">
        <v>380</v>
      </c>
      <c r="C941" t="s">
        <v>302</v>
      </c>
      <c r="D941" t="s">
        <v>155</v>
      </c>
      <c r="E941">
        <v>155</v>
      </c>
      <c r="F941">
        <v>166.4937720109082</v>
      </c>
      <c r="G941">
        <v>83.246886005454101</v>
      </c>
      <c r="H941">
        <v>44124</v>
      </c>
    </row>
    <row r="942" spans="1:13" x14ac:dyDescent="0.35">
      <c r="A942" t="s">
        <v>151</v>
      </c>
      <c r="B942" t="s">
        <v>380</v>
      </c>
      <c r="C942" t="s">
        <v>302</v>
      </c>
      <c r="D942" t="s">
        <v>155</v>
      </c>
      <c r="E942">
        <v>501553</v>
      </c>
      <c r="F942">
        <v>634256.02548002882</v>
      </c>
      <c r="G942">
        <v>380553.61528801557</v>
      </c>
      <c r="H942">
        <v>44124</v>
      </c>
    </row>
    <row r="943" spans="1:13" x14ac:dyDescent="0.35">
      <c r="A943" t="s">
        <v>193</v>
      </c>
      <c r="B943" t="s">
        <v>380</v>
      </c>
      <c r="C943" t="s">
        <v>302</v>
      </c>
      <c r="D943" t="s">
        <v>155</v>
      </c>
      <c r="E943">
        <v>1847</v>
      </c>
      <c r="F943">
        <v>2339.6561943320035</v>
      </c>
      <c r="G943">
        <v>1169.8280971660017</v>
      </c>
      <c r="H943">
        <v>44124</v>
      </c>
      <c r="I943">
        <v>44124</v>
      </c>
    </row>
    <row r="944" spans="1:13" x14ac:dyDescent="0.35">
      <c r="A944" t="s">
        <v>215</v>
      </c>
      <c r="B944" t="s">
        <v>380</v>
      </c>
      <c r="C944" t="s">
        <v>302</v>
      </c>
      <c r="D944" t="s">
        <v>155</v>
      </c>
      <c r="E944">
        <v>9</v>
      </c>
      <c r="F944">
        <v>11.794205952128998</v>
      </c>
      <c r="G944">
        <v>5.8971029760644988</v>
      </c>
      <c r="H944">
        <v>44124</v>
      </c>
    </row>
    <row r="945" spans="1:12" x14ac:dyDescent="0.35">
      <c r="A945" t="s">
        <v>392</v>
      </c>
      <c r="B945" t="s">
        <v>380</v>
      </c>
      <c r="C945" t="s">
        <v>302</v>
      </c>
      <c r="D945" t="s">
        <v>155</v>
      </c>
      <c r="E945">
        <v>710</v>
      </c>
      <c r="F945">
        <v>1497.7619719077243</v>
      </c>
      <c r="G945">
        <v>599.10478876308946</v>
      </c>
      <c r="H945">
        <v>44124</v>
      </c>
    </row>
    <row r="946" spans="1:12" x14ac:dyDescent="0.35">
      <c r="A946" t="s">
        <v>393</v>
      </c>
      <c r="B946" t="s">
        <v>380</v>
      </c>
      <c r="C946" t="s">
        <v>302</v>
      </c>
      <c r="D946" t="s">
        <v>155</v>
      </c>
      <c r="E946">
        <v>307953</v>
      </c>
      <c r="F946">
        <v>439542.44840168761</v>
      </c>
      <c r="G946">
        <v>0</v>
      </c>
      <c r="H946">
        <v>44124</v>
      </c>
    </row>
    <row r="947" spans="1:12" x14ac:dyDescent="0.35">
      <c r="A947" t="s">
        <v>393</v>
      </c>
      <c r="B947" t="s">
        <v>380</v>
      </c>
      <c r="C947" t="s">
        <v>302</v>
      </c>
      <c r="D947" t="s">
        <v>155</v>
      </c>
      <c r="E947" t="s">
        <v>394</v>
      </c>
      <c r="F947" t="s">
        <v>394</v>
      </c>
      <c r="G947" t="s">
        <v>394</v>
      </c>
      <c r="H947">
        <v>44124</v>
      </c>
    </row>
    <row r="948" spans="1:12" x14ac:dyDescent="0.35">
      <c r="A948" t="s">
        <v>186</v>
      </c>
      <c r="B948" t="s">
        <v>380</v>
      </c>
      <c r="C948" t="s">
        <v>302</v>
      </c>
      <c r="D948" t="s">
        <v>155</v>
      </c>
      <c r="E948">
        <v>916</v>
      </c>
      <c r="F948">
        <v>1215.7876822312451</v>
      </c>
      <c r="G948">
        <v>607.89384111562254</v>
      </c>
      <c r="H948">
        <v>44124</v>
      </c>
    </row>
    <row r="949" spans="1:12" x14ac:dyDescent="0.35">
      <c r="A949" t="s">
        <v>315</v>
      </c>
      <c r="B949" t="s">
        <v>380</v>
      </c>
      <c r="C949" t="s">
        <v>302</v>
      </c>
      <c r="D949" t="s">
        <v>155</v>
      </c>
      <c r="E949">
        <v>4242401</v>
      </c>
      <c r="F949">
        <v>6215275.5306913825</v>
      </c>
      <c r="G949" t="s">
        <v>153</v>
      </c>
      <c r="H949">
        <v>44124</v>
      </c>
    </row>
    <row r="950" spans="1:12" x14ac:dyDescent="0.35">
      <c r="A950" t="s">
        <v>268</v>
      </c>
      <c r="B950" t="s">
        <v>380</v>
      </c>
      <c r="C950" t="s">
        <v>302</v>
      </c>
      <c r="D950" t="s">
        <v>155</v>
      </c>
      <c r="E950">
        <v>270</v>
      </c>
      <c r="F950">
        <v>471.92819535882927</v>
      </c>
      <c r="G950">
        <v>188.77127814353167</v>
      </c>
      <c r="H950">
        <v>44124</v>
      </c>
    </row>
    <row r="951" spans="1:12" x14ac:dyDescent="0.35">
      <c r="A951" t="s">
        <v>367</v>
      </c>
      <c r="B951" t="s">
        <v>380</v>
      </c>
      <c r="C951" t="s">
        <v>302</v>
      </c>
      <c r="D951" t="s">
        <v>155</v>
      </c>
      <c r="E951">
        <v>664</v>
      </c>
      <c r="F951">
        <v>753.53953379950269</v>
      </c>
      <c r="G951" t="s">
        <v>153</v>
      </c>
      <c r="H951">
        <v>44124</v>
      </c>
    </row>
    <row r="952" spans="1:12" x14ac:dyDescent="0.35">
      <c r="A952" t="s">
        <v>379</v>
      </c>
      <c r="B952" t="s">
        <v>395</v>
      </c>
      <c r="C952" t="s">
        <v>302</v>
      </c>
      <c r="D952" t="s">
        <v>155</v>
      </c>
      <c r="E952">
        <v>398</v>
      </c>
      <c r="F952">
        <v>458.42327644765913</v>
      </c>
      <c r="G952">
        <v>229.21163822382957</v>
      </c>
      <c r="H952">
        <v>44163</v>
      </c>
    </row>
    <row r="953" spans="1:12" x14ac:dyDescent="0.35">
      <c r="A953" t="s">
        <v>343</v>
      </c>
      <c r="B953" t="s">
        <v>395</v>
      </c>
      <c r="C953" t="s">
        <v>302</v>
      </c>
      <c r="D953" t="s">
        <v>155</v>
      </c>
      <c r="E953">
        <v>12994983</v>
      </c>
      <c r="F953">
        <v>1871853.9359519491</v>
      </c>
      <c r="G953">
        <v>1310297.7551663723</v>
      </c>
      <c r="H953">
        <v>44163</v>
      </c>
    </row>
    <row r="954" spans="1:12" x14ac:dyDescent="0.35">
      <c r="A954" t="s">
        <v>373</v>
      </c>
      <c r="B954" t="s">
        <v>395</v>
      </c>
      <c r="C954" t="s">
        <v>302</v>
      </c>
      <c r="D954" t="s">
        <v>155</v>
      </c>
      <c r="E954">
        <v>978580</v>
      </c>
      <c r="F954">
        <v>243646.9939188266</v>
      </c>
      <c r="G954" t="s">
        <v>153</v>
      </c>
      <c r="H954">
        <v>44163</v>
      </c>
    </row>
    <row r="955" spans="1:12" x14ac:dyDescent="0.35">
      <c r="A955" t="s">
        <v>339</v>
      </c>
      <c r="B955" t="s">
        <v>395</v>
      </c>
      <c r="C955" t="s">
        <v>302</v>
      </c>
      <c r="D955" t="s">
        <v>155</v>
      </c>
      <c r="E955">
        <v>9646</v>
      </c>
      <c r="F955">
        <v>1082.092537413442</v>
      </c>
      <c r="G955" t="s">
        <v>153</v>
      </c>
      <c r="H955">
        <v>44163</v>
      </c>
    </row>
    <row r="956" spans="1:12" x14ac:dyDescent="0.35">
      <c r="A956" t="s">
        <v>381</v>
      </c>
      <c r="B956" t="s">
        <v>395</v>
      </c>
      <c r="C956" t="s">
        <v>302</v>
      </c>
      <c r="D956" t="s">
        <v>155</v>
      </c>
      <c r="E956">
        <v>8</v>
      </c>
      <c r="F956">
        <v>8.5479872824861189</v>
      </c>
      <c r="G956">
        <v>3.4191949129944477</v>
      </c>
      <c r="H956">
        <v>44163</v>
      </c>
    </row>
    <row r="957" spans="1:12" x14ac:dyDescent="0.35">
      <c r="A957" t="s">
        <v>383</v>
      </c>
      <c r="B957" t="s">
        <v>395</v>
      </c>
      <c r="C957" t="s">
        <v>302</v>
      </c>
      <c r="D957" t="s">
        <v>155</v>
      </c>
      <c r="E957">
        <v>8239</v>
      </c>
      <c r="F957">
        <v>8912.29566224259</v>
      </c>
      <c r="G957">
        <v>3564.9182648970382</v>
      </c>
      <c r="H957">
        <v>44163</v>
      </c>
      <c r="I957">
        <v>44163</v>
      </c>
      <c r="J957">
        <v>43841</v>
      </c>
      <c r="K957" t="s">
        <v>396</v>
      </c>
      <c r="L957">
        <v>44305</v>
      </c>
    </row>
    <row r="958" spans="1:12" x14ac:dyDescent="0.35">
      <c r="A958" t="s">
        <v>357</v>
      </c>
      <c r="B958" t="s">
        <v>395</v>
      </c>
      <c r="C958" t="s">
        <v>302</v>
      </c>
      <c r="D958" t="s">
        <v>155</v>
      </c>
      <c r="E958">
        <v>278</v>
      </c>
      <c r="F958">
        <v>328.85351221847111</v>
      </c>
      <c r="G958">
        <v>164.42675610923555</v>
      </c>
      <c r="H958">
        <v>44163</v>
      </c>
    </row>
    <row r="959" spans="1:12" x14ac:dyDescent="0.35">
      <c r="A959" t="s">
        <v>211</v>
      </c>
      <c r="B959" t="s">
        <v>395</v>
      </c>
      <c r="C959" t="s">
        <v>302</v>
      </c>
      <c r="D959" t="s">
        <v>155</v>
      </c>
      <c r="E959">
        <v>1183</v>
      </c>
      <c r="F959">
        <v>101.48388445404986</v>
      </c>
      <c r="G959">
        <v>50.741942227024929</v>
      </c>
      <c r="H959">
        <v>44163</v>
      </c>
      <c r="I959">
        <v>44163</v>
      </c>
      <c r="L959">
        <v>43811</v>
      </c>
    </row>
    <row r="960" spans="1:12" x14ac:dyDescent="0.35">
      <c r="A960" t="s">
        <v>375</v>
      </c>
      <c r="B960" t="s">
        <v>395</v>
      </c>
      <c r="C960" t="s">
        <v>302</v>
      </c>
      <c r="D960" t="s">
        <v>155</v>
      </c>
      <c r="E960">
        <v>80441</v>
      </c>
      <c r="F960">
        <v>11904.030991252423</v>
      </c>
      <c r="G960">
        <v>5952.0154956262113</v>
      </c>
      <c r="H960">
        <v>44163</v>
      </c>
      <c r="J960">
        <v>44207</v>
      </c>
      <c r="K960" t="s">
        <v>397</v>
      </c>
      <c r="L960">
        <v>44305</v>
      </c>
    </row>
    <row r="961" spans="1:12" x14ac:dyDescent="0.35">
      <c r="A961" t="s">
        <v>386</v>
      </c>
      <c r="B961" t="s">
        <v>395</v>
      </c>
      <c r="C961" t="s">
        <v>302</v>
      </c>
      <c r="D961" t="s">
        <v>155</v>
      </c>
      <c r="E961">
        <v>7452</v>
      </c>
      <c r="F961">
        <v>1211.45258306701</v>
      </c>
      <c r="G961">
        <v>605.72629153350499</v>
      </c>
      <c r="H961">
        <v>44163</v>
      </c>
      <c r="L961">
        <v>45106</v>
      </c>
    </row>
    <row r="962" spans="1:12" x14ac:dyDescent="0.35">
      <c r="A962" t="s">
        <v>152</v>
      </c>
      <c r="B962" t="s">
        <v>395</v>
      </c>
      <c r="C962" t="s">
        <v>302</v>
      </c>
      <c r="D962" t="s">
        <v>155</v>
      </c>
      <c r="E962">
        <v>51601</v>
      </c>
      <c r="F962">
        <v>39010.711040142603</v>
      </c>
      <c r="G962" t="s">
        <v>153</v>
      </c>
      <c r="H962">
        <v>44163</v>
      </c>
    </row>
    <row r="963" spans="1:12" x14ac:dyDescent="0.35">
      <c r="A963" t="s">
        <v>265</v>
      </c>
      <c r="B963" t="s">
        <v>395</v>
      </c>
      <c r="C963" t="s">
        <v>302</v>
      </c>
      <c r="D963" t="s">
        <v>155</v>
      </c>
      <c r="E963">
        <v>3</v>
      </c>
      <c r="F963">
        <v>0.29859429930833958</v>
      </c>
      <c r="G963">
        <v>0</v>
      </c>
      <c r="H963">
        <v>44163</v>
      </c>
    </row>
    <row r="964" spans="1:12" x14ac:dyDescent="0.35">
      <c r="A964" t="s">
        <v>232</v>
      </c>
      <c r="B964" t="s">
        <v>395</v>
      </c>
      <c r="C964" t="s">
        <v>302</v>
      </c>
      <c r="D964" t="s">
        <v>155</v>
      </c>
      <c r="E964">
        <v>25521</v>
      </c>
      <c r="F964">
        <v>18791.782370001743</v>
      </c>
      <c r="G964" t="s">
        <v>153</v>
      </c>
      <c r="H964">
        <v>44163</v>
      </c>
    </row>
    <row r="965" spans="1:12" x14ac:dyDescent="0.35">
      <c r="A965" t="s">
        <v>326</v>
      </c>
      <c r="B965" t="s">
        <v>395</v>
      </c>
      <c r="C965" t="s">
        <v>302</v>
      </c>
      <c r="D965" t="s">
        <v>155</v>
      </c>
      <c r="E965">
        <v>287</v>
      </c>
      <c r="F965">
        <v>352.84525747077481</v>
      </c>
      <c r="G965">
        <v>176.42262873538741</v>
      </c>
      <c r="H965">
        <v>44163</v>
      </c>
    </row>
    <row r="966" spans="1:12" x14ac:dyDescent="0.35">
      <c r="A966" t="s">
        <v>313</v>
      </c>
      <c r="B966" t="s">
        <v>395</v>
      </c>
      <c r="C966" t="s">
        <v>302</v>
      </c>
      <c r="D966" t="s">
        <v>155</v>
      </c>
      <c r="E966">
        <v>1552</v>
      </c>
      <c r="F966">
        <v>1712.1887387465792</v>
      </c>
      <c r="G966">
        <v>856.09436937328962</v>
      </c>
      <c r="H966">
        <v>44163</v>
      </c>
    </row>
    <row r="967" spans="1:12" x14ac:dyDescent="0.35">
      <c r="A967" t="s">
        <v>362</v>
      </c>
      <c r="B967" t="s">
        <v>395</v>
      </c>
      <c r="C967" t="s">
        <v>302</v>
      </c>
      <c r="D967" t="s">
        <v>155</v>
      </c>
      <c r="E967">
        <v>1269</v>
      </c>
      <c r="F967">
        <v>2444.1432174828865</v>
      </c>
      <c r="G967">
        <v>977.65728699315457</v>
      </c>
      <c r="H967">
        <v>44163</v>
      </c>
      <c r="L967">
        <v>44461</v>
      </c>
    </row>
    <row r="968" spans="1:12" x14ac:dyDescent="0.35">
      <c r="A968" t="s">
        <v>387</v>
      </c>
      <c r="B968" t="s">
        <v>395</v>
      </c>
      <c r="C968" t="s">
        <v>302</v>
      </c>
      <c r="D968" t="s">
        <v>155</v>
      </c>
      <c r="E968">
        <v>6358</v>
      </c>
      <c r="F968">
        <v>8809.3325718461183</v>
      </c>
      <c r="G968">
        <v>5285.5995431076699</v>
      </c>
      <c r="H968">
        <v>44163</v>
      </c>
      <c r="J968">
        <v>44207</v>
      </c>
      <c r="L968">
        <v>44205</v>
      </c>
    </row>
    <row r="969" spans="1:12" x14ac:dyDescent="0.35">
      <c r="A969" t="s">
        <v>329</v>
      </c>
      <c r="B969" t="s">
        <v>395</v>
      </c>
      <c r="C969" t="s">
        <v>302</v>
      </c>
      <c r="D969" t="s">
        <v>155</v>
      </c>
      <c r="E969">
        <v>1744</v>
      </c>
      <c r="F969">
        <v>724.58241890549471</v>
      </c>
      <c r="G969">
        <v>362.29120945274735</v>
      </c>
      <c r="H969">
        <v>44163</v>
      </c>
      <c r="L969">
        <v>44522</v>
      </c>
    </row>
    <row r="970" spans="1:12" x14ac:dyDescent="0.35">
      <c r="A970" t="s">
        <v>210</v>
      </c>
      <c r="B970" t="s">
        <v>395</v>
      </c>
      <c r="C970" t="s">
        <v>302</v>
      </c>
      <c r="D970" t="s">
        <v>155</v>
      </c>
      <c r="E970">
        <v>64</v>
      </c>
      <c r="F970">
        <v>74.373902796300229</v>
      </c>
      <c r="G970">
        <v>22.312170838890069</v>
      </c>
      <c r="H970">
        <v>44163</v>
      </c>
    </row>
    <row r="971" spans="1:12" x14ac:dyDescent="0.35">
      <c r="A971" t="s">
        <v>364</v>
      </c>
      <c r="B971" t="s">
        <v>395</v>
      </c>
      <c r="C971" t="s">
        <v>302</v>
      </c>
      <c r="D971" t="s">
        <v>155</v>
      </c>
      <c r="E971">
        <v>879</v>
      </c>
      <c r="F971">
        <v>1213.9047260384013</v>
      </c>
      <c r="G971">
        <v>364.17141781152037</v>
      </c>
      <c r="H971">
        <v>44163</v>
      </c>
    </row>
    <row r="972" spans="1:12" x14ac:dyDescent="0.35">
      <c r="A972" t="s">
        <v>366</v>
      </c>
      <c r="B972" t="s">
        <v>395</v>
      </c>
      <c r="C972" t="s">
        <v>302</v>
      </c>
      <c r="D972" t="s">
        <v>155</v>
      </c>
      <c r="E972">
        <v>661</v>
      </c>
      <c r="F972">
        <v>445.00616317218896</v>
      </c>
      <c r="G972">
        <v>222.50308158609448</v>
      </c>
      <c r="H972">
        <v>44163</v>
      </c>
      <c r="L972">
        <v>45442</v>
      </c>
    </row>
    <row r="973" spans="1:12" x14ac:dyDescent="0.35">
      <c r="A973" t="s">
        <v>332</v>
      </c>
      <c r="B973" t="s">
        <v>395</v>
      </c>
      <c r="C973" t="s">
        <v>302</v>
      </c>
      <c r="D973" t="s">
        <v>155</v>
      </c>
      <c r="E973">
        <v>284</v>
      </c>
      <c r="F973">
        <v>522.4176768819334</v>
      </c>
      <c r="G973">
        <v>208.9670707527734</v>
      </c>
      <c r="H973">
        <v>44163</v>
      </c>
    </row>
    <row r="974" spans="1:12" x14ac:dyDescent="0.35">
      <c r="A974" t="s">
        <v>314</v>
      </c>
      <c r="B974" t="s">
        <v>395</v>
      </c>
      <c r="C974" t="s">
        <v>302</v>
      </c>
      <c r="D974" t="s">
        <v>155</v>
      </c>
      <c r="E974">
        <v>6105</v>
      </c>
      <c r="F974">
        <v>13983.605621562856</v>
      </c>
      <c r="G974">
        <v>4195.081686468855</v>
      </c>
      <c r="H974">
        <v>44163</v>
      </c>
      <c r="J974">
        <v>44207</v>
      </c>
      <c r="K974" t="s">
        <v>396</v>
      </c>
      <c r="L974">
        <v>44294</v>
      </c>
    </row>
    <row r="975" spans="1:12" x14ac:dyDescent="0.35">
      <c r="A975" t="s">
        <v>30</v>
      </c>
      <c r="B975" t="s">
        <v>395</v>
      </c>
      <c r="C975" t="s">
        <v>302</v>
      </c>
      <c r="D975" t="s">
        <v>155</v>
      </c>
      <c r="E975">
        <v>356245</v>
      </c>
      <c r="F975">
        <v>65195.383809584644</v>
      </c>
      <c r="G975">
        <v>32597.691904792322</v>
      </c>
      <c r="H975">
        <v>44163</v>
      </c>
    </row>
    <row r="976" spans="1:12" x14ac:dyDescent="0.35">
      <c r="A976" t="s">
        <v>347</v>
      </c>
      <c r="B976" t="s">
        <v>395</v>
      </c>
      <c r="C976" t="s">
        <v>302</v>
      </c>
      <c r="D976" t="s">
        <v>155</v>
      </c>
      <c r="E976">
        <v>146</v>
      </c>
      <c r="F976">
        <v>134.48375280521228</v>
      </c>
      <c r="G976">
        <v>40.345125841563686</v>
      </c>
      <c r="H976">
        <v>44163</v>
      </c>
    </row>
    <row r="977" spans="1:12" x14ac:dyDescent="0.35">
      <c r="A977" t="s">
        <v>388</v>
      </c>
      <c r="B977" t="s">
        <v>395</v>
      </c>
      <c r="C977" t="s">
        <v>302</v>
      </c>
      <c r="D977" t="s">
        <v>155</v>
      </c>
      <c r="E977">
        <v>12775</v>
      </c>
      <c r="F977">
        <v>23525.284519987672</v>
      </c>
      <c r="G977">
        <v>11762.642259993836</v>
      </c>
      <c r="H977">
        <v>44163</v>
      </c>
      <c r="J977">
        <v>44207</v>
      </c>
      <c r="K977" t="s">
        <v>398</v>
      </c>
      <c r="L977">
        <v>44208</v>
      </c>
    </row>
    <row r="978" spans="1:12" x14ac:dyDescent="0.35">
      <c r="A978" t="s">
        <v>359</v>
      </c>
      <c r="B978" t="s">
        <v>395</v>
      </c>
      <c r="C978" t="s">
        <v>302</v>
      </c>
      <c r="D978" t="s">
        <v>155</v>
      </c>
      <c r="E978">
        <v>30</v>
      </c>
      <c r="F978">
        <v>24.907084338596139</v>
      </c>
      <c r="G978">
        <v>12.453542169298069</v>
      </c>
      <c r="H978">
        <v>44163</v>
      </c>
    </row>
    <row r="979" spans="1:12" x14ac:dyDescent="0.35">
      <c r="A979" t="s">
        <v>213</v>
      </c>
      <c r="B979" t="s">
        <v>395</v>
      </c>
      <c r="C979" t="s">
        <v>302</v>
      </c>
      <c r="D979" t="s">
        <v>155</v>
      </c>
      <c r="E979">
        <v>26</v>
      </c>
      <c r="F979">
        <v>22.544626700632477</v>
      </c>
      <c r="G979">
        <v>6.7633880101897423</v>
      </c>
      <c r="H979">
        <v>44163</v>
      </c>
    </row>
    <row r="980" spans="1:12" x14ac:dyDescent="0.35">
      <c r="A980" t="s">
        <v>160</v>
      </c>
      <c r="B980" t="s">
        <v>395</v>
      </c>
      <c r="C980" t="s">
        <v>302</v>
      </c>
      <c r="D980" t="s">
        <v>155</v>
      </c>
      <c r="E980">
        <v>48747</v>
      </c>
      <c r="F980">
        <v>62257.010349230048</v>
      </c>
      <c r="G980" t="s">
        <v>153</v>
      </c>
      <c r="H980">
        <v>44163</v>
      </c>
    </row>
    <row r="981" spans="1:12" x14ac:dyDescent="0.35">
      <c r="A981" t="s">
        <v>120</v>
      </c>
      <c r="B981" t="s">
        <v>395</v>
      </c>
      <c r="C981" t="s">
        <v>302</v>
      </c>
      <c r="D981" t="s">
        <v>155</v>
      </c>
      <c r="E981">
        <v>88765</v>
      </c>
      <c r="F981">
        <v>51870.527940165659</v>
      </c>
      <c r="G981" t="s">
        <v>153</v>
      </c>
      <c r="H981">
        <v>44163</v>
      </c>
    </row>
    <row r="982" spans="1:12" x14ac:dyDescent="0.35">
      <c r="A982" t="s">
        <v>190</v>
      </c>
      <c r="B982" t="s">
        <v>395</v>
      </c>
      <c r="C982" t="s">
        <v>302</v>
      </c>
      <c r="D982" t="s">
        <v>155</v>
      </c>
      <c r="E982">
        <v>102791</v>
      </c>
      <c r="F982">
        <v>29092.363140280064</v>
      </c>
      <c r="G982">
        <v>14546.181570140032</v>
      </c>
      <c r="H982">
        <v>44163</v>
      </c>
      <c r="I982">
        <v>44163</v>
      </c>
      <c r="L982">
        <v>44602</v>
      </c>
    </row>
    <row r="983" spans="1:12" x14ac:dyDescent="0.35">
      <c r="A983" t="s">
        <v>162</v>
      </c>
      <c r="B983" t="s">
        <v>395</v>
      </c>
      <c r="C983" t="s">
        <v>302</v>
      </c>
      <c r="D983" t="s">
        <v>155</v>
      </c>
      <c r="E983">
        <v>12147</v>
      </c>
      <c r="F983">
        <v>14004.725961208245</v>
      </c>
      <c r="G983">
        <v>8402.8355767249541</v>
      </c>
      <c r="H983">
        <v>44163</v>
      </c>
      <c r="I983">
        <v>44163</v>
      </c>
      <c r="J983">
        <v>44207</v>
      </c>
      <c r="K983" t="s">
        <v>396</v>
      </c>
      <c r="L983">
        <v>44263</v>
      </c>
    </row>
    <row r="984" spans="1:12" x14ac:dyDescent="0.35">
      <c r="A984" t="s">
        <v>345</v>
      </c>
      <c r="B984" t="s">
        <v>395</v>
      </c>
      <c r="C984" t="s">
        <v>302</v>
      </c>
      <c r="D984" t="s">
        <v>155</v>
      </c>
      <c r="E984">
        <v>748490</v>
      </c>
      <c r="F984">
        <v>1065278.5985608902</v>
      </c>
      <c r="G984">
        <v>532639.29928044509</v>
      </c>
      <c r="H984">
        <v>44163</v>
      </c>
    </row>
    <row r="985" spans="1:12" x14ac:dyDescent="0.35">
      <c r="A985" t="s">
        <v>214</v>
      </c>
      <c r="B985" t="s">
        <v>395</v>
      </c>
      <c r="C985" t="s">
        <v>302</v>
      </c>
      <c r="D985" t="s">
        <v>155</v>
      </c>
      <c r="E985">
        <v>11</v>
      </c>
      <c r="F985">
        <v>0.96601509370814553</v>
      </c>
      <c r="G985">
        <v>0.38640603748325819</v>
      </c>
      <c r="H985">
        <v>44163</v>
      </c>
    </row>
    <row r="986" spans="1:12" x14ac:dyDescent="0.35">
      <c r="A986" t="s">
        <v>390</v>
      </c>
      <c r="B986" t="s">
        <v>395</v>
      </c>
      <c r="C986" t="s">
        <v>302</v>
      </c>
      <c r="D986" t="s">
        <v>155</v>
      </c>
      <c r="E986">
        <v>66408</v>
      </c>
      <c r="F986">
        <v>122350.45621301432</v>
      </c>
      <c r="G986">
        <v>61175.228106507158</v>
      </c>
      <c r="H986">
        <v>44163</v>
      </c>
      <c r="I986">
        <v>44163</v>
      </c>
      <c r="J986">
        <v>44186</v>
      </c>
      <c r="K986" t="s">
        <v>396</v>
      </c>
      <c r="L986">
        <v>44201</v>
      </c>
    </row>
    <row r="987" spans="1:12" x14ac:dyDescent="0.35">
      <c r="A987" t="s">
        <v>349</v>
      </c>
      <c r="B987" t="s">
        <v>395</v>
      </c>
      <c r="C987" t="s">
        <v>302</v>
      </c>
      <c r="D987" t="s">
        <v>155</v>
      </c>
      <c r="E987">
        <v>45</v>
      </c>
      <c r="F987">
        <v>28.311345692371834</v>
      </c>
      <c r="G987">
        <v>11.324538276948735</v>
      </c>
      <c r="H987">
        <v>44163</v>
      </c>
    </row>
    <row r="988" spans="1:12" x14ac:dyDescent="0.35">
      <c r="A988" t="s">
        <v>278</v>
      </c>
      <c r="B988" t="s">
        <v>395</v>
      </c>
      <c r="C988" t="s">
        <v>302</v>
      </c>
      <c r="D988" t="s">
        <v>155</v>
      </c>
      <c r="E988">
        <v>1</v>
      </c>
      <c r="F988">
        <v>0.10095627829968234</v>
      </c>
      <c r="G988">
        <v>5.0478139149841172E-2</v>
      </c>
      <c r="H988">
        <v>44163</v>
      </c>
    </row>
    <row r="989" spans="1:12" x14ac:dyDescent="0.35">
      <c r="A989" t="s">
        <v>283</v>
      </c>
      <c r="B989" t="s">
        <v>395</v>
      </c>
      <c r="C989" t="s">
        <v>302</v>
      </c>
      <c r="D989" t="s">
        <v>155</v>
      </c>
      <c r="E989">
        <v>33472</v>
      </c>
      <c r="F989">
        <v>32224.993523699399</v>
      </c>
      <c r="G989">
        <v>16112.496761849699</v>
      </c>
      <c r="H989">
        <v>44163</v>
      </c>
      <c r="J989">
        <v>44207</v>
      </c>
      <c r="K989" t="s">
        <v>399</v>
      </c>
      <c r="L989">
        <v>44208</v>
      </c>
    </row>
    <row r="990" spans="1:12" x14ac:dyDescent="0.35">
      <c r="A990" t="s">
        <v>306</v>
      </c>
      <c r="B990" t="s">
        <v>395</v>
      </c>
      <c r="C990" t="s">
        <v>302</v>
      </c>
      <c r="D990" t="s">
        <v>155</v>
      </c>
      <c r="E990">
        <v>59946</v>
      </c>
      <c r="F990">
        <v>29139.230712667049</v>
      </c>
      <c r="G990" t="s">
        <v>153</v>
      </c>
      <c r="H990">
        <v>44163</v>
      </c>
      <c r="J990">
        <v>44207</v>
      </c>
      <c r="K990" t="s">
        <v>399</v>
      </c>
      <c r="L990">
        <v>44208</v>
      </c>
    </row>
    <row r="991" spans="1:12" x14ac:dyDescent="0.35">
      <c r="A991" t="s">
        <v>279</v>
      </c>
      <c r="B991" t="s">
        <v>395</v>
      </c>
      <c r="C991" t="s">
        <v>302</v>
      </c>
      <c r="D991" t="s">
        <v>155</v>
      </c>
      <c r="E991">
        <v>355</v>
      </c>
      <c r="F991">
        <v>29.481304222499382</v>
      </c>
      <c r="G991">
        <v>14.740652111249691</v>
      </c>
      <c r="H991">
        <v>44163</v>
      </c>
    </row>
    <row r="992" spans="1:12" x14ac:dyDescent="0.35">
      <c r="A992" t="s">
        <v>151</v>
      </c>
      <c r="B992" t="s">
        <v>395</v>
      </c>
      <c r="C992" t="s">
        <v>302</v>
      </c>
      <c r="D992" t="s">
        <v>155</v>
      </c>
      <c r="E992">
        <v>108806</v>
      </c>
      <c r="F992">
        <v>158680.3605446936</v>
      </c>
      <c r="G992">
        <v>95208.216326816138</v>
      </c>
      <c r="H992">
        <v>44163</v>
      </c>
    </row>
    <row r="993" spans="1:12" x14ac:dyDescent="0.35">
      <c r="A993" t="s">
        <v>193</v>
      </c>
      <c r="B993" t="s">
        <v>395</v>
      </c>
      <c r="C993" t="s">
        <v>302</v>
      </c>
      <c r="D993" t="s">
        <v>155</v>
      </c>
      <c r="E993">
        <v>846</v>
      </c>
      <c r="F993">
        <v>467.35891858737955</v>
      </c>
      <c r="G993">
        <v>233.67945929368977</v>
      </c>
      <c r="H993">
        <v>44163</v>
      </c>
      <c r="I993">
        <v>44163</v>
      </c>
    </row>
    <row r="994" spans="1:12" x14ac:dyDescent="0.35">
      <c r="A994" t="s">
        <v>215</v>
      </c>
      <c r="B994" t="s">
        <v>395</v>
      </c>
      <c r="C994" t="s">
        <v>302</v>
      </c>
      <c r="D994" t="s">
        <v>155</v>
      </c>
      <c r="E994">
        <v>134</v>
      </c>
      <c r="F994">
        <v>22.60689631661058</v>
      </c>
      <c r="G994">
        <v>11.30344815830529</v>
      </c>
      <c r="H994">
        <v>44163</v>
      </c>
    </row>
    <row r="995" spans="1:12" x14ac:dyDescent="0.35">
      <c r="A995" t="s">
        <v>266</v>
      </c>
      <c r="B995" t="s">
        <v>395</v>
      </c>
      <c r="C995" t="s">
        <v>302</v>
      </c>
      <c r="D995" t="s">
        <v>155</v>
      </c>
      <c r="E995">
        <v>613</v>
      </c>
      <c r="F995">
        <v>384.67080131126875</v>
      </c>
      <c r="G995">
        <v>192.33540065563437</v>
      </c>
      <c r="H995">
        <v>44163</v>
      </c>
    </row>
    <row r="996" spans="1:12" x14ac:dyDescent="0.35">
      <c r="A996" t="s">
        <v>393</v>
      </c>
      <c r="B996" t="s">
        <v>395</v>
      </c>
      <c r="C996" t="s">
        <v>302</v>
      </c>
      <c r="D996" t="s">
        <v>155</v>
      </c>
      <c r="E996">
        <v>1137030</v>
      </c>
      <c r="F996">
        <v>424184.25721734716</v>
      </c>
      <c r="G996" t="s">
        <v>153</v>
      </c>
      <c r="H996">
        <v>44163</v>
      </c>
    </row>
    <row r="997" spans="1:12" x14ac:dyDescent="0.35">
      <c r="A997" t="s">
        <v>393</v>
      </c>
      <c r="B997" t="s">
        <v>395</v>
      </c>
      <c r="C997" t="s">
        <v>302</v>
      </c>
      <c r="D997" t="s">
        <v>155</v>
      </c>
      <c r="E997" t="s">
        <v>394</v>
      </c>
      <c r="F997" t="s">
        <v>394</v>
      </c>
      <c r="G997" t="s">
        <v>394</v>
      </c>
      <c r="H997">
        <v>44163</v>
      </c>
    </row>
    <row r="998" spans="1:12" x14ac:dyDescent="0.35">
      <c r="A998" t="s">
        <v>186</v>
      </c>
      <c r="B998" t="s">
        <v>395</v>
      </c>
      <c r="C998" t="s">
        <v>302</v>
      </c>
      <c r="D998" t="s">
        <v>155</v>
      </c>
      <c r="E998">
        <v>142363</v>
      </c>
      <c r="F998">
        <v>11105.787018500427</v>
      </c>
      <c r="G998">
        <v>5552.8935092502134</v>
      </c>
      <c r="H998">
        <v>44163</v>
      </c>
    </row>
    <row r="999" spans="1:12" x14ac:dyDescent="0.35">
      <c r="A999" t="s">
        <v>315</v>
      </c>
      <c r="B999" t="s">
        <v>395</v>
      </c>
      <c r="C999" t="s">
        <v>302</v>
      </c>
      <c r="D999" t="s">
        <v>155</v>
      </c>
      <c r="E999">
        <v>2991273</v>
      </c>
      <c r="F999">
        <v>4340161.6326585012</v>
      </c>
      <c r="G999" t="s">
        <v>153</v>
      </c>
      <c r="H999">
        <v>44163</v>
      </c>
    </row>
    <row r="1000" spans="1:12" x14ac:dyDescent="0.35">
      <c r="A1000" t="s">
        <v>268</v>
      </c>
      <c r="B1000" t="s">
        <v>395</v>
      </c>
      <c r="C1000" t="s">
        <v>302</v>
      </c>
      <c r="D1000" t="s">
        <v>155</v>
      </c>
      <c r="E1000">
        <v>480</v>
      </c>
      <c r="F1000">
        <v>363.73606785099469</v>
      </c>
      <c r="G1000">
        <v>145.49442714039787</v>
      </c>
      <c r="H1000">
        <v>44163</v>
      </c>
    </row>
    <row r="1001" spans="1:12" x14ac:dyDescent="0.35">
      <c r="A1001" t="s">
        <v>258</v>
      </c>
      <c r="B1001" t="s">
        <v>395</v>
      </c>
      <c r="C1001" t="s">
        <v>302</v>
      </c>
      <c r="D1001" t="s">
        <v>155</v>
      </c>
      <c r="E1001">
        <v>8</v>
      </c>
      <c r="F1001">
        <v>0.57644387825608223</v>
      </c>
      <c r="G1001" t="s">
        <v>153</v>
      </c>
      <c r="H1001">
        <v>44163</v>
      </c>
    </row>
    <row r="1002" spans="1:12" x14ac:dyDescent="0.35">
      <c r="A1002" t="s">
        <v>367</v>
      </c>
      <c r="B1002" t="s">
        <v>395</v>
      </c>
      <c r="C1002" t="s">
        <v>302</v>
      </c>
      <c r="D1002" t="s">
        <v>155</v>
      </c>
      <c r="E1002">
        <v>21708</v>
      </c>
      <c r="F1002">
        <v>2312.5684225423242</v>
      </c>
      <c r="G1002" t="s">
        <v>153</v>
      </c>
      <c r="H1002">
        <v>44163</v>
      </c>
    </row>
    <row r="1003" spans="1:12" x14ac:dyDescent="0.35">
      <c r="A1003" t="s">
        <v>400</v>
      </c>
      <c r="B1003" t="s">
        <v>395</v>
      </c>
      <c r="C1003" t="s">
        <v>302</v>
      </c>
      <c r="D1003" t="s">
        <v>155</v>
      </c>
      <c r="E1003">
        <v>318299</v>
      </c>
      <c r="F1003">
        <v>72822.696984886061</v>
      </c>
      <c r="G1003">
        <v>47334.75304017598</v>
      </c>
      <c r="H1003">
        <v>44163</v>
      </c>
      <c r="J1003">
        <v>44301</v>
      </c>
      <c r="L1003">
        <v>44302</v>
      </c>
    </row>
    <row r="1004" spans="1:12" x14ac:dyDescent="0.35">
      <c r="A1004" t="s">
        <v>401</v>
      </c>
      <c r="B1004" t="s">
        <v>402</v>
      </c>
      <c r="C1004" t="s">
        <v>302</v>
      </c>
      <c r="D1004" t="s">
        <v>155</v>
      </c>
      <c r="E1004">
        <v>41214</v>
      </c>
      <c r="F1004">
        <v>54848.011025493201</v>
      </c>
      <c r="G1004">
        <v>27424.0055127466</v>
      </c>
      <c r="H1004">
        <v>44265</v>
      </c>
      <c r="L1004">
        <v>44326</v>
      </c>
    </row>
    <row r="1005" spans="1:12" x14ac:dyDescent="0.35">
      <c r="A1005" t="s">
        <v>379</v>
      </c>
      <c r="B1005" t="s">
        <v>403</v>
      </c>
      <c r="C1005" t="s">
        <v>302</v>
      </c>
      <c r="D1005" t="s">
        <v>155</v>
      </c>
      <c r="E1005">
        <v>15</v>
      </c>
      <c r="F1005">
        <v>4.278804763534783</v>
      </c>
      <c r="G1005">
        <v>2.1394023817673915</v>
      </c>
      <c r="H1005">
        <v>44193</v>
      </c>
    </row>
    <row r="1006" spans="1:12" x14ac:dyDescent="0.35">
      <c r="A1006" t="s">
        <v>343</v>
      </c>
      <c r="B1006" t="s">
        <v>403</v>
      </c>
      <c r="C1006" t="s">
        <v>302</v>
      </c>
      <c r="D1006" t="s">
        <v>155</v>
      </c>
      <c r="E1006">
        <v>7471688</v>
      </c>
      <c r="F1006">
        <v>935633.30494759651</v>
      </c>
      <c r="G1006">
        <v>654943.31346330408</v>
      </c>
      <c r="H1006">
        <v>44193</v>
      </c>
    </row>
    <row r="1007" spans="1:12" x14ac:dyDescent="0.35">
      <c r="A1007" t="s">
        <v>303</v>
      </c>
      <c r="B1007" t="s">
        <v>403</v>
      </c>
      <c r="C1007" t="s">
        <v>302</v>
      </c>
      <c r="D1007" t="s">
        <v>155</v>
      </c>
      <c r="E1007">
        <v>559315</v>
      </c>
      <c r="F1007">
        <v>71275.018177301943</v>
      </c>
      <c r="G1007" t="s">
        <v>153</v>
      </c>
      <c r="H1007">
        <v>44193</v>
      </c>
    </row>
    <row r="1008" spans="1:12" x14ac:dyDescent="0.35">
      <c r="A1008" t="s">
        <v>383</v>
      </c>
      <c r="B1008" t="s">
        <v>403</v>
      </c>
      <c r="C1008" t="s">
        <v>302</v>
      </c>
      <c r="D1008" t="s">
        <v>155</v>
      </c>
      <c r="E1008">
        <v>3322</v>
      </c>
      <c r="F1008">
        <v>3822.9065430306814</v>
      </c>
      <c r="G1008">
        <v>1529.1626172122726</v>
      </c>
      <c r="H1008">
        <v>44193</v>
      </c>
      <c r="I1008">
        <v>44193</v>
      </c>
      <c r="J1008">
        <v>44258</v>
      </c>
      <c r="K1008" t="s">
        <v>404</v>
      </c>
      <c r="L1008">
        <v>44305</v>
      </c>
    </row>
    <row r="1009" spans="1:12" x14ac:dyDescent="0.35">
      <c r="A1009" t="s">
        <v>357</v>
      </c>
      <c r="B1009" t="s">
        <v>403</v>
      </c>
      <c r="C1009" t="s">
        <v>302</v>
      </c>
      <c r="D1009" t="s">
        <v>155</v>
      </c>
      <c r="E1009">
        <v>429</v>
      </c>
      <c r="F1009">
        <v>569.6336091618067</v>
      </c>
      <c r="G1009">
        <v>228.53642817041731</v>
      </c>
      <c r="H1009">
        <v>44193</v>
      </c>
    </row>
    <row r="1010" spans="1:12" x14ac:dyDescent="0.35">
      <c r="A1010" t="s">
        <v>211</v>
      </c>
      <c r="B1010" t="s">
        <v>403</v>
      </c>
      <c r="C1010" t="s">
        <v>302</v>
      </c>
      <c r="D1010" t="s">
        <v>155</v>
      </c>
      <c r="E1010">
        <v>783</v>
      </c>
      <c r="F1010">
        <v>83.336533478945881</v>
      </c>
      <c r="G1010">
        <v>41.668266739472941</v>
      </c>
      <c r="H1010">
        <v>44193</v>
      </c>
    </row>
    <row r="1011" spans="1:12" x14ac:dyDescent="0.35">
      <c r="A1011" t="s">
        <v>405</v>
      </c>
      <c r="B1011" t="s">
        <v>403</v>
      </c>
      <c r="C1011" t="s">
        <v>302</v>
      </c>
      <c r="D1011" t="s">
        <v>155</v>
      </c>
      <c r="E1011">
        <v>73</v>
      </c>
      <c r="F1011">
        <v>96.044682784874439</v>
      </c>
      <c r="G1011">
        <v>48.02234139243722</v>
      </c>
      <c r="H1011">
        <v>44193</v>
      </c>
    </row>
    <row r="1012" spans="1:12" x14ac:dyDescent="0.35">
      <c r="A1012" t="s">
        <v>375</v>
      </c>
      <c r="B1012" t="s">
        <v>403</v>
      </c>
      <c r="C1012" t="s">
        <v>302</v>
      </c>
      <c r="D1012" t="s">
        <v>155</v>
      </c>
      <c r="E1012">
        <v>35066</v>
      </c>
      <c r="F1012">
        <v>6289.3809628034123</v>
      </c>
      <c r="G1012">
        <v>3144.6904814017062</v>
      </c>
      <c r="H1012">
        <v>44193</v>
      </c>
      <c r="J1012">
        <v>44207</v>
      </c>
      <c r="K1012" t="s">
        <v>397</v>
      </c>
      <c r="L1012">
        <v>44305</v>
      </c>
    </row>
    <row r="1013" spans="1:12" x14ac:dyDescent="0.35">
      <c r="A1013" t="s">
        <v>386</v>
      </c>
      <c r="B1013" t="s">
        <v>403</v>
      </c>
      <c r="C1013" t="s">
        <v>302</v>
      </c>
      <c r="D1013" t="s">
        <v>155</v>
      </c>
      <c r="E1013">
        <v>2501</v>
      </c>
      <c r="F1013">
        <v>292.65492236517599</v>
      </c>
      <c r="G1013">
        <v>146.327461182588</v>
      </c>
      <c r="H1013">
        <v>44193</v>
      </c>
      <c r="L1013">
        <v>45106</v>
      </c>
    </row>
    <row r="1014" spans="1:12" x14ac:dyDescent="0.35">
      <c r="A1014" t="s">
        <v>152</v>
      </c>
      <c r="B1014" t="s">
        <v>403</v>
      </c>
      <c r="C1014" t="s">
        <v>302</v>
      </c>
      <c r="D1014" t="s">
        <v>155</v>
      </c>
      <c r="E1014">
        <v>17310</v>
      </c>
      <c r="F1014">
        <v>9373.8048812269317</v>
      </c>
      <c r="G1014" t="s">
        <v>153</v>
      </c>
      <c r="H1014">
        <v>44193</v>
      </c>
    </row>
    <row r="1015" spans="1:12" x14ac:dyDescent="0.35">
      <c r="A1015" t="s">
        <v>265</v>
      </c>
      <c r="B1015" t="s">
        <v>403</v>
      </c>
      <c r="C1015" t="s">
        <v>302</v>
      </c>
      <c r="D1015" t="s">
        <v>155</v>
      </c>
      <c r="E1015">
        <v>4</v>
      </c>
      <c r="F1015">
        <v>0.95445496183206102</v>
      </c>
      <c r="G1015" t="s">
        <v>153</v>
      </c>
      <c r="H1015">
        <v>44193</v>
      </c>
    </row>
    <row r="1016" spans="1:12" x14ac:dyDescent="0.35">
      <c r="A1016" t="s">
        <v>232</v>
      </c>
      <c r="B1016" t="s">
        <v>403</v>
      </c>
      <c r="C1016" t="s">
        <v>302</v>
      </c>
      <c r="D1016" t="s">
        <v>155</v>
      </c>
      <c r="E1016">
        <v>382</v>
      </c>
      <c r="F1016">
        <v>218.90039842696359</v>
      </c>
      <c r="G1016" t="s">
        <v>153</v>
      </c>
      <c r="H1016">
        <v>44193</v>
      </c>
    </row>
    <row r="1017" spans="1:12" x14ac:dyDescent="0.35">
      <c r="A1017" t="s">
        <v>326</v>
      </c>
      <c r="B1017" t="s">
        <v>403</v>
      </c>
      <c r="C1017" t="s">
        <v>302</v>
      </c>
      <c r="D1017" t="s">
        <v>155</v>
      </c>
      <c r="E1017">
        <v>9</v>
      </c>
      <c r="F1017">
        <v>1.8986375824728625</v>
      </c>
      <c r="G1017" t="s">
        <v>153</v>
      </c>
      <c r="H1017">
        <v>44193</v>
      </c>
    </row>
    <row r="1018" spans="1:12" x14ac:dyDescent="0.35">
      <c r="A1018" t="s">
        <v>313</v>
      </c>
      <c r="B1018" t="s">
        <v>403</v>
      </c>
      <c r="C1018" t="s">
        <v>302</v>
      </c>
      <c r="D1018" t="s">
        <v>155</v>
      </c>
      <c r="E1018">
        <v>300</v>
      </c>
      <c r="F1018">
        <v>85.965423884378083</v>
      </c>
      <c r="G1018">
        <v>42.982711942189042</v>
      </c>
      <c r="H1018">
        <v>44193</v>
      </c>
    </row>
    <row r="1019" spans="1:12" x14ac:dyDescent="0.35">
      <c r="A1019" t="s">
        <v>362</v>
      </c>
      <c r="B1019" t="s">
        <v>403</v>
      </c>
      <c r="C1019" t="s">
        <v>302</v>
      </c>
      <c r="D1019" t="s">
        <v>155</v>
      </c>
      <c r="E1019">
        <v>408</v>
      </c>
      <c r="F1019">
        <v>562.80376410486053</v>
      </c>
      <c r="G1019">
        <v>225.12150564194422</v>
      </c>
      <c r="H1019">
        <v>44461</v>
      </c>
      <c r="L1019">
        <v>44461</v>
      </c>
    </row>
    <row r="1020" spans="1:12" x14ac:dyDescent="0.35">
      <c r="A1020" t="s">
        <v>387</v>
      </c>
      <c r="B1020" t="s">
        <v>403</v>
      </c>
      <c r="C1020" t="s">
        <v>302</v>
      </c>
      <c r="D1020" t="s">
        <v>155</v>
      </c>
      <c r="E1020">
        <v>639</v>
      </c>
      <c r="F1020">
        <v>1054.6986043977763</v>
      </c>
      <c r="G1020">
        <v>632.81916263866583</v>
      </c>
      <c r="H1020">
        <v>44193</v>
      </c>
      <c r="J1020">
        <v>44207</v>
      </c>
      <c r="L1020">
        <v>44273</v>
      </c>
    </row>
    <row r="1021" spans="1:12" x14ac:dyDescent="0.35">
      <c r="A1021" t="s">
        <v>329</v>
      </c>
      <c r="B1021" t="s">
        <v>403</v>
      </c>
      <c r="C1021" t="s">
        <v>302</v>
      </c>
      <c r="D1021" t="s">
        <v>155</v>
      </c>
      <c r="E1021">
        <v>490</v>
      </c>
      <c r="F1021">
        <v>121.46185282333084</v>
      </c>
      <c r="G1021">
        <v>60.730926411665422</v>
      </c>
      <c r="H1021">
        <v>44193</v>
      </c>
      <c r="L1021">
        <v>44522</v>
      </c>
    </row>
    <row r="1022" spans="1:12" x14ac:dyDescent="0.35">
      <c r="A1022" t="s">
        <v>210</v>
      </c>
      <c r="B1022" t="s">
        <v>403</v>
      </c>
      <c r="C1022" t="s">
        <v>302</v>
      </c>
      <c r="D1022" t="s">
        <v>155</v>
      </c>
      <c r="E1022">
        <v>16</v>
      </c>
      <c r="F1022">
        <v>4.6960299615963921</v>
      </c>
      <c r="G1022">
        <v>1.4088089884789174</v>
      </c>
      <c r="H1022">
        <v>44193</v>
      </c>
    </row>
    <row r="1023" spans="1:12" x14ac:dyDescent="0.35">
      <c r="A1023" t="s">
        <v>366</v>
      </c>
      <c r="B1023" t="s">
        <v>403</v>
      </c>
      <c r="C1023" t="s">
        <v>302</v>
      </c>
      <c r="D1023" t="s">
        <v>155</v>
      </c>
      <c r="E1023">
        <v>508</v>
      </c>
      <c r="F1023">
        <v>120.57808825804028</v>
      </c>
      <c r="G1023">
        <v>60.289044129020141</v>
      </c>
      <c r="H1023">
        <v>44193</v>
      </c>
      <c r="L1023">
        <v>45442</v>
      </c>
    </row>
    <row r="1024" spans="1:12" x14ac:dyDescent="0.35">
      <c r="A1024" t="s">
        <v>332</v>
      </c>
      <c r="B1024" t="s">
        <v>403</v>
      </c>
      <c r="C1024" t="s">
        <v>302</v>
      </c>
      <c r="D1024" t="s">
        <v>155</v>
      </c>
      <c r="E1024">
        <v>59</v>
      </c>
      <c r="F1024">
        <v>111.02548830371163</v>
      </c>
      <c r="G1024">
        <v>44.410195321484657</v>
      </c>
      <c r="H1024">
        <v>44193</v>
      </c>
    </row>
    <row r="1025" spans="1:12" x14ac:dyDescent="0.35">
      <c r="A1025" t="s">
        <v>314</v>
      </c>
      <c r="B1025" t="s">
        <v>403</v>
      </c>
      <c r="C1025" t="s">
        <v>302</v>
      </c>
      <c r="D1025" t="s">
        <v>155</v>
      </c>
      <c r="E1025">
        <v>2096</v>
      </c>
      <c r="F1025">
        <v>4015.9892781287199</v>
      </c>
      <c r="G1025">
        <v>1204.7967834386159</v>
      </c>
      <c r="H1025">
        <v>44193</v>
      </c>
      <c r="J1025">
        <v>44207</v>
      </c>
      <c r="K1025" t="s">
        <v>396</v>
      </c>
      <c r="L1025">
        <v>44294</v>
      </c>
    </row>
    <row r="1026" spans="1:12" x14ac:dyDescent="0.35">
      <c r="A1026" t="s">
        <v>30</v>
      </c>
      <c r="B1026" t="s">
        <v>403</v>
      </c>
      <c r="C1026" t="s">
        <v>302</v>
      </c>
      <c r="D1026" t="s">
        <v>155</v>
      </c>
      <c r="E1026">
        <v>119749</v>
      </c>
      <c r="F1026">
        <v>23479.945578932558</v>
      </c>
      <c r="G1026">
        <v>11739.972789466279</v>
      </c>
      <c r="H1026">
        <v>44193</v>
      </c>
    </row>
    <row r="1027" spans="1:12" x14ac:dyDescent="0.35">
      <c r="A1027" t="s">
        <v>347</v>
      </c>
      <c r="B1027" t="s">
        <v>403</v>
      </c>
      <c r="C1027" t="s">
        <v>302</v>
      </c>
      <c r="D1027" t="s">
        <v>155</v>
      </c>
      <c r="E1027">
        <v>20</v>
      </c>
      <c r="F1027">
        <v>2.3930098597423726</v>
      </c>
      <c r="G1027">
        <v>0.71790295792271175</v>
      </c>
      <c r="H1027">
        <v>44193</v>
      </c>
    </row>
    <row r="1028" spans="1:12" x14ac:dyDescent="0.35">
      <c r="A1028" t="s">
        <v>388</v>
      </c>
      <c r="B1028" t="s">
        <v>403</v>
      </c>
      <c r="C1028" t="s">
        <v>302</v>
      </c>
      <c r="D1028" t="s">
        <v>155</v>
      </c>
      <c r="E1028">
        <v>4256</v>
      </c>
      <c r="F1028">
        <v>6025.4494329864583</v>
      </c>
      <c r="G1028">
        <v>3012.7247164932292</v>
      </c>
      <c r="H1028">
        <v>44193</v>
      </c>
      <c r="J1028">
        <v>44207</v>
      </c>
      <c r="K1028" t="s">
        <v>398</v>
      </c>
      <c r="L1028">
        <v>44208</v>
      </c>
    </row>
    <row r="1029" spans="1:12" x14ac:dyDescent="0.35">
      <c r="A1029" t="s">
        <v>359</v>
      </c>
      <c r="B1029" t="s">
        <v>403</v>
      </c>
      <c r="C1029" t="s">
        <v>302</v>
      </c>
      <c r="D1029" t="s">
        <v>155</v>
      </c>
      <c r="E1029">
        <v>20</v>
      </c>
      <c r="F1029">
        <v>2.1286470875848247</v>
      </c>
      <c r="G1029">
        <v>1.0643235437924123</v>
      </c>
      <c r="H1029">
        <v>44193</v>
      </c>
    </row>
    <row r="1030" spans="1:12" x14ac:dyDescent="0.35">
      <c r="A1030" t="s">
        <v>213</v>
      </c>
      <c r="B1030" t="s">
        <v>403</v>
      </c>
      <c r="C1030" t="s">
        <v>302</v>
      </c>
      <c r="D1030" t="s">
        <v>155</v>
      </c>
      <c r="E1030">
        <v>2</v>
      </c>
      <c r="F1030">
        <v>0.21286470875848246</v>
      </c>
      <c r="G1030" t="s">
        <v>153</v>
      </c>
      <c r="H1030">
        <v>44193</v>
      </c>
    </row>
    <row r="1031" spans="1:12" x14ac:dyDescent="0.35">
      <c r="A1031" t="s">
        <v>160</v>
      </c>
      <c r="B1031" t="s">
        <v>403</v>
      </c>
      <c r="C1031" t="s">
        <v>302</v>
      </c>
      <c r="D1031" t="s">
        <v>155</v>
      </c>
      <c r="E1031">
        <v>3</v>
      </c>
      <c r="F1031">
        <v>0.85576095270695651</v>
      </c>
      <c r="G1031" t="s">
        <v>153</v>
      </c>
      <c r="H1031">
        <v>44193</v>
      </c>
    </row>
    <row r="1032" spans="1:12" x14ac:dyDescent="0.35">
      <c r="A1032" t="s">
        <v>120</v>
      </c>
      <c r="B1032" t="s">
        <v>403</v>
      </c>
      <c r="C1032" t="s">
        <v>302</v>
      </c>
      <c r="D1032" t="s">
        <v>155</v>
      </c>
      <c r="E1032">
        <v>129</v>
      </c>
      <c r="F1032">
        <v>13.729773714922118</v>
      </c>
      <c r="G1032" t="s">
        <v>153</v>
      </c>
      <c r="H1032">
        <v>44193</v>
      </c>
    </row>
    <row r="1033" spans="1:12" x14ac:dyDescent="0.35">
      <c r="A1033" t="s">
        <v>190</v>
      </c>
      <c r="B1033" t="s">
        <v>403</v>
      </c>
      <c r="C1033" t="s">
        <v>302</v>
      </c>
      <c r="D1033" t="s">
        <v>155</v>
      </c>
      <c r="E1033">
        <v>6997</v>
      </c>
      <c r="F1033">
        <v>9205.8170609009121</v>
      </c>
      <c r="G1033">
        <v>4602.9085304504561</v>
      </c>
      <c r="H1033">
        <v>44238</v>
      </c>
      <c r="L1033">
        <v>44602</v>
      </c>
    </row>
    <row r="1034" spans="1:12" x14ac:dyDescent="0.35">
      <c r="A1034" t="s">
        <v>162</v>
      </c>
      <c r="B1034" t="s">
        <v>403</v>
      </c>
      <c r="C1034" t="s">
        <v>302</v>
      </c>
      <c r="D1034" t="s">
        <v>155</v>
      </c>
      <c r="E1034">
        <v>1643</v>
      </c>
      <c r="F1034">
        <v>584.15968210827702</v>
      </c>
      <c r="G1034">
        <v>350.49580926496628</v>
      </c>
      <c r="H1034">
        <v>44193</v>
      </c>
      <c r="I1034">
        <v>44193</v>
      </c>
      <c r="J1034">
        <v>44207</v>
      </c>
      <c r="K1034" t="s">
        <v>396</v>
      </c>
      <c r="L1034">
        <v>44263</v>
      </c>
    </row>
    <row r="1035" spans="1:12" x14ac:dyDescent="0.35">
      <c r="A1035" t="s">
        <v>345</v>
      </c>
      <c r="B1035" t="s">
        <v>403</v>
      </c>
      <c r="C1035" t="s">
        <v>302</v>
      </c>
      <c r="D1035" t="s">
        <v>155</v>
      </c>
      <c r="E1035">
        <v>69179</v>
      </c>
      <c r="F1035">
        <v>118671.89122659073</v>
      </c>
      <c r="G1035">
        <v>59335.945613295364</v>
      </c>
      <c r="H1035">
        <v>44193</v>
      </c>
    </row>
    <row r="1036" spans="1:12" x14ac:dyDescent="0.35">
      <c r="A1036" t="s">
        <v>214</v>
      </c>
      <c r="B1036" t="s">
        <v>403</v>
      </c>
      <c r="C1036" t="s">
        <v>302</v>
      </c>
      <c r="D1036" t="s">
        <v>155</v>
      </c>
      <c r="E1036">
        <v>4</v>
      </c>
      <c r="F1036">
        <v>0.42572941751696491</v>
      </c>
      <c r="G1036" t="s">
        <v>153</v>
      </c>
      <c r="H1036">
        <v>44193</v>
      </c>
    </row>
    <row r="1037" spans="1:12" x14ac:dyDescent="0.35">
      <c r="A1037" t="s">
        <v>390</v>
      </c>
      <c r="B1037" t="s">
        <v>403</v>
      </c>
      <c r="C1037" t="s">
        <v>302</v>
      </c>
      <c r="D1037" t="s">
        <v>155</v>
      </c>
      <c r="E1037">
        <v>9005</v>
      </c>
      <c r="F1037">
        <v>4893.3766995860215</v>
      </c>
      <c r="G1037">
        <v>2446.6883497930107</v>
      </c>
      <c r="H1037">
        <v>44193</v>
      </c>
      <c r="J1037">
        <v>44207</v>
      </c>
      <c r="K1037" t="s">
        <v>396</v>
      </c>
      <c r="L1037">
        <v>44303</v>
      </c>
    </row>
    <row r="1038" spans="1:12" x14ac:dyDescent="0.35">
      <c r="A1038" t="s">
        <v>349</v>
      </c>
      <c r="B1038" t="s">
        <v>403</v>
      </c>
      <c r="C1038" t="s">
        <v>302</v>
      </c>
      <c r="D1038" t="s">
        <v>155</v>
      </c>
      <c r="E1038">
        <v>14</v>
      </c>
      <c r="F1038">
        <v>1.4900529613093771</v>
      </c>
      <c r="G1038">
        <v>0.59602118452375086</v>
      </c>
      <c r="H1038">
        <v>44193</v>
      </c>
    </row>
    <row r="1039" spans="1:12" x14ac:dyDescent="0.35">
      <c r="A1039" t="s">
        <v>47</v>
      </c>
      <c r="B1039" t="s">
        <v>403</v>
      </c>
      <c r="C1039" t="s">
        <v>302</v>
      </c>
      <c r="D1039" t="s">
        <v>155</v>
      </c>
      <c r="E1039">
        <v>4209</v>
      </c>
      <c r="F1039">
        <v>743.5199547243825</v>
      </c>
      <c r="G1039">
        <v>371.75997736219125</v>
      </c>
      <c r="H1039">
        <v>44193</v>
      </c>
      <c r="J1039">
        <v>44207</v>
      </c>
      <c r="K1039" t="s">
        <v>399</v>
      </c>
      <c r="L1039">
        <v>44208</v>
      </c>
    </row>
    <row r="1040" spans="1:12" x14ac:dyDescent="0.35">
      <c r="A1040" t="s">
        <v>306</v>
      </c>
      <c r="B1040" t="s">
        <v>403</v>
      </c>
      <c r="C1040" t="s">
        <v>302</v>
      </c>
      <c r="D1040" t="s">
        <v>155</v>
      </c>
      <c r="E1040">
        <v>24505</v>
      </c>
      <c r="F1040">
        <v>2633.8684952749722</v>
      </c>
      <c r="G1040" t="s">
        <v>153</v>
      </c>
      <c r="H1040">
        <v>44193</v>
      </c>
      <c r="J1040">
        <v>44207</v>
      </c>
      <c r="K1040" t="s">
        <v>399</v>
      </c>
      <c r="L1040">
        <v>44208</v>
      </c>
    </row>
    <row r="1041" spans="1:12" x14ac:dyDescent="0.35">
      <c r="A1041" t="s">
        <v>279</v>
      </c>
      <c r="B1041" t="s">
        <v>403</v>
      </c>
      <c r="C1041" t="s">
        <v>302</v>
      </c>
      <c r="D1041" t="s">
        <v>155</v>
      </c>
      <c r="E1041">
        <v>79</v>
      </c>
      <c r="F1041">
        <v>8.4081559959600565</v>
      </c>
      <c r="G1041">
        <v>4.2040779979800282</v>
      </c>
      <c r="H1041">
        <v>44193</v>
      </c>
    </row>
    <row r="1042" spans="1:12" x14ac:dyDescent="0.35">
      <c r="A1042" t="s">
        <v>151</v>
      </c>
      <c r="B1042" t="s">
        <v>403</v>
      </c>
      <c r="C1042" t="s">
        <v>302</v>
      </c>
      <c r="D1042" t="s">
        <v>155</v>
      </c>
      <c r="E1042">
        <v>1</v>
      </c>
      <c r="F1042">
        <v>1.509264519661864E-2</v>
      </c>
      <c r="G1042" t="s">
        <v>153</v>
      </c>
      <c r="H1042">
        <v>44193</v>
      </c>
    </row>
    <row r="1043" spans="1:12" x14ac:dyDescent="0.35">
      <c r="A1043" t="s">
        <v>193</v>
      </c>
      <c r="B1043" t="s">
        <v>403</v>
      </c>
      <c r="C1043" t="s">
        <v>302</v>
      </c>
      <c r="D1043" t="s">
        <v>155</v>
      </c>
      <c r="E1043">
        <v>109</v>
      </c>
      <c r="F1043">
        <v>14.223059747017384</v>
      </c>
      <c r="G1043">
        <v>7.111529873508692</v>
      </c>
      <c r="H1043">
        <v>44193</v>
      </c>
      <c r="I1043">
        <v>44193</v>
      </c>
    </row>
    <row r="1044" spans="1:12" x14ac:dyDescent="0.35">
      <c r="A1044" t="s">
        <v>215</v>
      </c>
      <c r="B1044" t="s">
        <v>403</v>
      </c>
      <c r="C1044" t="s">
        <v>302</v>
      </c>
      <c r="D1044" t="s">
        <v>155</v>
      </c>
      <c r="E1044">
        <v>46</v>
      </c>
      <c r="F1044">
        <v>5.9842927710918357</v>
      </c>
      <c r="G1044">
        <v>2.9921463855459178</v>
      </c>
      <c r="H1044">
        <v>44193</v>
      </c>
    </row>
    <row r="1045" spans="1:12" x14ac:dyDescent="0.35">
      <c r="A1045" t="s">
        <v>393</v>
      </c>
      <c r="B1045" t="s">
        <v>403</v>
      </c>
      <c r="C1045" t="s">
        <v>302</v>
      </c>
      <c r="D1045" t="s">
        <v>155</v>
      </c>
      <c r="E1045">
        <v>376979</v>
      </c>
      <c r="F1045">
        <v>96853.773046855524</v>
      </c>
      <c r="G1045" t="s">
        <v>153</v>
      </c>
      <c r="H1045">
        <v>44193</v>
      </c>
    </row>
    <row r="1046" spans="1:12" x14ac:dyDescent="0.35">
      <c r="A1046" t="s">
        <v>186</v>
      </c>
      <c r="B1046" t="s">
        <v>403</v>
      </c>
      <c r="C1046" t="s">
        <v>302</v>
      </c>
      <c r="D1046" t="s">
        <v>155</v>
      </c>
      <c r="E1046">
        <v>236</v>
      </c>
      <c r="F1046">
        <v>25.118035633500931</v>
      </c>
      <c r="G1046">
        <v>12.559017816750465</v>
      </c>
      <c r="H1046">
        <v>44193</v>
      </c>
    </row>
    <row r="1047" spans="1:12" x14ac:dyDescent="0.35">
      <c r="A1047" t="s">
        <v>315</v>
      </c>
      <c r="B1047" t="s">
        <v>403</v>
      </c>
      <c r="C1047" t="s">
        <v>302</v>
      </c>
      <c r="D1047" t="s">
        <v>155</v>
      </c>
      <c r="E1047">
        <v>255900</v>
      </c>
      <c r="F1047">
        <v>443402.40170726174</v>
      </c>
      <c r="G1047" t="s">
        <v>153</v>
      </c>
      <c r="H1047">
        <v>44193</v>
      </c>
    </row>
    <row r="1048" spans="1:12" x14ac:dyDescent="0.35">
      <c r="A1048" t="s">
        <v>268</v>
      </c>
      <c r="B1048" t="s">
        <v>403</v>
      </c>
      <c r="C1048" t="s">
        <v>302</v>
      </c>
      <c r="D1048" t="s">
        <v>155</v>
      </c>
      <c r="E1048">
        <v>220</v>
      </c>
      <c r="F1048">
        <v>65.372880281629307</v>
      </c>
      <c r="G1048">
        <v>26.14915211265172</v>
      </c>
      <c r="H1048">
        <v>44193</v>
      </c>
    </row>
    <row r="1049" spans="1:12" x14ac:dyDescent="0.35">
      <c r="A1049" t="s">
        <v>367</v>
      </c>
      <c r="B1049" t="s">
        <v>403</v>
      </c>
      <c r="C1049" t="s">
        <v>302</v>
      </c>
      <c r="D1049" t="s">
        <v>155</v>
      </c>
      <c r="E1049">
        <v>9117</v>
      </c>
      <c r="F1049">
        <v>1024.0093186350437</v>
      </c>
      <c r="G1049" t="s">
        <v>153</v>
      </c>
      <c r="H1049">
        <v>44193</v>
      </c>
    </row>
    <row r="1050" spans="1:12" x14ac:dyDescent="0.35">
      <c r="A1050" t="s">
        <v>400</v>
      </c>
      <c r="B1050" t="s">
        <v>403</v>
      </c>
      <c r="C1050" t="s">
        <v>302</v>
      </c>
      <c r="D1050" t="s">
        <v>155</v>
      </c>
      <c r="E1050">
        <v>494945</v>
      </c>
      <c r="F1050">
        <v>146086.51983599123</v>
      </c>
      <c r="G1050">
        <v>94956.237893394267</v>
      </c>
      <c r="H1050">
        <v>44193</v>
      </c>
      <c r="J1050">
        <v>44301</v>
      </c>
      <c r="L1050">
        <v>44302</v>
      </c>
    </row>
    <row r="1051" spans="1:12" x14ac:dyDescent="0.35">
      <c r="A1051" t="s">
        <v>379</v>
      </c>
      <c r="B1051" t="s">
        <v>406</v>
      </c>
      <c r="C1051" t="s">
        <v>302</v>
      </c>
      <c r="D1051" t="s">
        <v>155</v>
      </c>
      <c r="E1051">
        <v>114</v>
      </c>
      <c r="F1051">
        <v>143.98891134636676</v>
      </c>
      <c r="G1051">
        <v>71.994455673183381</v>
      </c>
      <c r="H1051">
        <v>44265</v>
      </c>
    </row>
    <row r="1052" spans="1:12" x14ac:dyDescent="0.35">
      <c r="A1052" t="s">
        <v>381</v>
      </c>
      <c r="B1052" t="s">
        <v>406</v>
      </c>
      <c r="C1052" t="s">
        <v>302</v>
      </c>
      <c r="D1052" t="s">
        <v>155</v>
      </c>
      <c r="E1052">
        <v>6</v>
      </c>
      <c r="F1052">
        <v>9.7242694089723845</v>
      </c>
      <c r="G1052">
        <v>3.8897077635889548</v>
      </c>
      <c r="H1052">
        <v>44265</v>
      </c>
    </row>
    <row r="1053" spans="1:12" x14ac:dyDescent="0.35">
      <c r="A1053" t="s">
        <v>383</v>
      </c>
      <c r="B1053" t="s">
        <v>406</v>
      </c>
      <c r="C1053" t="s">
        <v>302</v>
      </c>
      <c r="D1053" t="s">
        <v>155</v>
      </c>
      <c r="E1053">
        <v>5081</v>
      </c>
      <c r="F1053">
        <v>7320.8336576793636</v>
      </c>
      <c r="G1053">
        <v>2928.333463071745</v>
      </c>
      <c r="H1053">
        <v>44265</v>
      </c>
      <c r="I1053">
        <v>44265</v>
      </c>
      <c r="J1053">
        <v>44287</v>
      </c>
      <c r="K1053" t="s">
        <v>407</v>
      </c>
      <c r="L1053">
        <v>44305</v>
      </c>
    </row>
    <row r="1054" spans="1:12" x14ac:dyDescent="0.35">
      <c r="A1054" t="s">
        <v>357</v>
      </c>
      <c r="B1054" t="s">
        <v>406</v>
      </c>
      <c r="C1054" t="s">
        <v>302</v>
      </c>
      <c r="D1054" t="s">
        <v>155</v>
      </c>
      <c r="E1054">
        <v>139</v>
      </c>
      <c r="F1054">
        <v>247.47500510491693</v>
      </c>
      <c r="G1054">
        <v>123.73750255245847</v>
      </c>
      <c r="H1054">
        <v>44265</v>
      </c>
    </row>
    <row r="1055" spans="1:12" x14ac:dyDescent="0.35">
      <c r="A1055" t="s">
        <v>211</v>
      </c>
      <c r="B1055" t="s">
        <v>406</v>
      </c>
      <c r="C1055" t="s">
        <v>302</v>
      </c>
      <c r="D1055" t="s">
        <v>155</v>
      </c>
      <c r="E1055">
        <v>478</v>
      </c>
      <c r="F1055">
        <v>49.312788403436848</v>
      </c>
      <c r="G1055">
        <v>24.656394201718424</v>
      </c>
      <c r="H1055">
        <v>44265</v>
      </c>
    </row>
    <row r="1056" spans="1:12" x14ac:dyDescent="0.35">
      <c r="A1056" t="s">
        <v>375</v>
      </c>
      <c r="B1056" t="s">
        <v>406</v>
      </c>
      <c r="C1056" t="s">
        <v>302</v>
      </c>
      <c r="D1056" t="s">
        <v>155</v>
      </c>
      <c r="E1056">
        <v>98182</v>
      </c>
      <c r="F1056">
        <v>14423.390676986817</v>
      </c>
      <c r="G1056">
        <v>7211.6953384934086</v>
      </c>
      <c r="H1056">
        <v>44265</v>
      </c>
      <c r="J1056">
        <v>44287</v>
      </c>
      <c r="K1056" t="s">
        <v>408</v>
      </c>
      <c r="L1056">
        <v>44305</v>
      </c>
    </row>
    <row r="1057" spans="1:12" x14ac:dyDescent="0.35">
      <c r="A1057" t="s">
        <v>405</v>
      </c>
      <c r="B1057" t="s">
        <v>406</v>
      </c>
      <c r="C1057" t="s">
        <v>302</v>
      </c>
      <c r="D1057" t="s">
        <v>155</v>
      </c>
      <c r="E1057">
        <v>58774</v>
      </c>
      <c r="F1057">
        <v>9314.6910406966126</v>
      </c>
      <c r="G1057">
        <v>4657.3455203483063</v>
      </c>
      <c r="H1057">
        <v>44265</v>
      </c>
      <c r="L1057">
        <v>45265</v>
      </c>
    </row>
    <row r="1058" spans="1:12" x14ac:dyDescent="0.35">
      <c r="A1058" t="s">
        <v>386</v>
      </c>
      <c r="B1058" t="s">
        <v>406</v>
      </c>
      <c r="C1058" t="s">
        <v>302</v>
      </c>
      <c r="D1058" t="s">
        <v>155</v>
      </c>
      <c r="E1058">
        <v>4060</v>
      </c>
      <c r="F1058">
        <v>577.29400215151759</v>
      </c>
      <c r="G1058">
        <v>288.64700107575879</v>
      </c>
      <c r="H1058">
        <v>44265</v>
      </c>
      <c r="L1058">
        <v>45106</v>
      </c>
    </row>
    <row r="1059" spans="1:12" x14ac:dyDescent="0.35">
      <c r="A1059" t="s">
        <v>265</v>
      </c>
      <c r="B1059" t="s">
        <v>406</v>
      </c>
      <c r="C1059" t="s">
        <v>302</v>
      </c>
      <c r="D1059" t="s">
        <v>155</v>
      </c>
      <c r="E1059">
        <v>1</v>
      </c>
      <c r="F1059">
        <v>0.37815761609438814</v>
      </c>
      <c r="G1059">
        <v>0.18907880804719407</v>
      </c>
      <c r="H1059">
        <v>44265</v>
      </c>
    </row>
    <row r="1060" spans="1:12" x14ac:dyDescent="0.35">
      <c r="A1060" t="s">
        <v>326</v>
      </c>
      <c r="B1060" t="s">
        <v>406</v>
      </c>
      <c r="C1060" t="s">
        <v>302</v>
      </c>
      <c r="D1060" t="s">
        <v>155</v>
      </c>
      <c r="E1060">
        <v>204</v>
      </c>
      <c r="F1060">
        <v>278.9388952871376</v>
      </c>
      <c r="G1060">
        <v>139.4694476435688</v>
      </c>
      <c r="H1060">
        <v>44265</v>
      </c>
    </row>
    <row r="1061" spans="1:12" x14ac:dyDescent="0.35">
      <c r="A1061" t="s">
        <v>313</v>
      </c>
      <c r="B1061" t="s">
        <v>406</v>
      </c>
      <c r="C1061" t="s">
        <v>302</v>
      </c>
      <c r="D1061" t="s">
        <v>155</v>
      </c>
      <c r="E1061">
        <v>310</v>
      </c>
      <c r="F1061">
        <v>496.90410888202257</v>
      </c>
      <c r="G1061">
        <v>248.45205444101128</v>
      </c>
      <c r="H1061">
        <v>44265</v>
      </c>
    </row>
    <row r="1062" spans="1:12" x14ac:dyDescent="0.35">
      <c r="A1062" t="s">
        <v>362</v>
      </c>
      <c r="B1062" t="s">
        <v>406</v>
      </c>
      <c r="C1062" t="s">
        <v>302</v>
      </c>
      <c r="D1062" t="s">
        <v>155</v>
      </c>
      <c r="E1062">
        <v>393</v>
      </c>
      <c r="F1062">
        <v>640.69438313663977</v>
      </c>
      <c r="G1062">
        <v>256.27775325465586</v>
      </c>
      <c r="H1062">
        <v>44265</v>
      </c>
      <c r="L1062">
        <v>44461</v>
      </c>
    </row>
    <row r="1063" spans="1:12" x14ac:dyDescent="0.35">
      <c r="A1063" t="s">
        <v>387</v>
      </c>
      <c r="B1063" t="s">
        <v>406</v>
      </c>
      <c r="C1063" t="s">
        <v>302</v>
      </c>
      <c r="D1063" t="s">
        <v>155</v>
      </c>
      <c r="E1063">
        <v>1765</v>
      </c>
      <c r="F1063">
        <v>4612.3806382851435</v>
      </c>
      <c r="G1063">
        <v>2767.4283829710857</v>
      </c>
      <c r="H1063">
        <v>44265</v>
      </c>
      <c r="J1063">
        <v>44287</v>
      </c>
      <c r="L1063">
        <v>44344</v>
      </c>
    </row>
    <row r="1064" spans="1:12" x14ac:dyDescent="0.35">
      <c r="A1064" t="s">
        <v>329</v>
      </c>
      <c r="B1064" t="s">
        <v>406</v>
      </c>
      <c r="C1064" t="s">
        <v>302</v>
      </c>
      <c r="D1064" t="s">
        <v>155</v>
      </c>
      <c r="E1064">
        <v>790</v>
      </c>
      <c r="F1064">
        <v>1016.179828356702</v>
      </c>
      <c r="G1064">
        <v>508.08991417835102</v>
      </c>
      <c r="H1064">
        <v>44265</v>
      </c>
      <c r="L1064">
        <v>44522</v>
      </c>
    </row>
    <row r="1065" spans="1:12" x14ac:dyDescent="0.35">
      <c r="A1065" t="s">
        <v>210</v>
      </c>
      <c r="B1065" t="s">
        <v>406</v>
      </c>
      <c r="C1065" t="s">
        <v>302</v>
      </c>
      <c r="D1065" t="s">
        <v>155</v>
      </c>
      <c r="E1065">
        <v>58</v>
      </c>
      <c r="F1065">
        <v>80.595443795491349</v>
      </c>
      <c r="G1065">
        <v>24.178633138647402</v>
      </c>
      <c r="H1065">
        <v>44265</v>
      </c>
    </row>
    <row r="1066" spans="1:12" x14ac:dyDescent="0.35">
      <c r="A1066" t="s">
        <v>401</v>
      </c>
      <c r="B1066" t="s">
        <v>406</v>
      </c>
      <c r="C1066" t="s">
        <v>302</v>
      </c>
      <c r="D1066" t="s">
        <v>155</v>
      </c>
      <c r="L1066">
        <v>44326</v>
      </c>
    </row>
    <row r="1067" spans="1:12" x14ac:dyDescent="0.35">
      <c r="A1067" t="s">
        <v>366</v>
      </c>
      <c r="B1067" t="s">
        <v>406</v>
      </c>
      <c r="C1067" t="s">
        <v>302</v>
      </c>
      <c r="D1067" t="s">
        <v>155</v>
      </c>
      <c r="E1067">
        <v>606</v>
      </c>
      <c r="F1067">
        <v>491.3341207412351</v>
      </c>
      <c r="G1067">
        <v>245.66706037061755</v>
      </c>
      <c r="H1067">
        <v>44265</v>
      </c>
      <c r="L1067">
        <v>45442</v>
      </c>
    </row>
    <row r="1068" spans="1:12" x14ac:dyDescent="0.35">
      <c r="A1068" t="s">
        <v>332</v>
      </c>
      <c r="B1068" t="s">
        <v>406</v>
      </c>
      <c r="C1068" t="s">
        <v>302</v>
      </c>
      <c r="D1068" t="s">
        <v>155</v>
      </c>
      <c r="E1068">
        <v>129</v>
      </c>
      <c r="F1068">
        <v>247.35105300880599</v>
      </c>
      <c r="G1068">
        <v>98.940421203522419</v>
      </c>
      <c r="H1068">
        <v>44265</v>
      </c>
    </row>
    <row r="1069" spans="1:12" x14ac:dyDescent="0.35">
      <c r="A1069" t="s">
        <v>314</v>
      </c>
      <c r="B1069" t="s">
        <v>406</v>
      </c>
      <c r="C1069" t="s">
        <v>302</v>
      </c>
      <c r="D1069" t="s">
        <v>155</v>
      </c>
      <c r="E1069">
        <v>2719</v>
      </c>
      <c r="F1069">
        <v>11204.847718550833</v>
      </c>
      <c r="G1069">
        <v>3361.45431556525</v>
      </c>
      <c r="H1069">
        <v>44265</v>
      </c>
      <c r="J1069">
        <v>44287</v>
      </c>
      <c r="K1069" t="s">
        <v>407</v>
      </c>
      <c r="L1069">
        <v>44294</v>
      </c>
    </row>
    <row r="1070" spans="1:12" x14ac:dyDescent="0.35">
      <c r="A1070" t="s">
        <v>30</v>
      </c>
      <c r="B1070" t="s">
        <v>406</v>
      </c>
      <c r="C1070" t="s">
        <v>302</v>
      </c>
      <c r="D1070" t="s">
        <v>155</v>
      </c>
      <c r="E1070">
        <v>237625</v>
      </c>
      <c r="F1070">
        <v>63665.276932031302</v>
      </c>
      <c r="G1070">
        <v>31832.638466015651</v>
      </c>
      <c r="H1070">
        <v>44265</v>
      </c>
    </row>
    <row r="1071" spans="1:12" x14ac:dyDescent="0.35">
      <c r="A1071" t="s">
        <v>347</v>
      </c>
      <c r="B1071" t="s">
        <v>406</v>
      </c>
      <c r="C1071" t="s">
        <v>302</v>
      </c>
      <c r="D1071" t="s">
        <v>155</v>
      </c>
      <c r="E1071">
        <v>67</v>
      </c>
      <c r="F1071">
        <v>82.937928030361448</v>
      </c>
      <c r="G1071">
        <v>24.881378409108436</v>
      </c>
      <c r="H1071">
        <v>44265</v>
      </c>
    </row>
    <row r="1072" spans="1:12" x14ac:dyDescent="0.35">
      <c r="A1072" t="s">
        <v>388</v>
      </c>
      <c r="B1072" t="s">
        <v>406</v>
      </c>
      <c r="C1072" t="s">
        <v>302</v>
      </c>
      <c r="D1072" t="s">
        <v>155</v>
      </c>
      <c r="E1072">
        <v>7139</v>
      </c>
      <c r="F1072">
        <v>20945.117768293436</v>
      </c>
      <c r="G1072">
        <v>10472.558884146718</v>
      </c>
      <c r="H1072">
        <v>44265</v>
      </c>
      <c r="J1072">
        <v>44287</v>
      </c>
      <c r="K1072" t="s">
        <v>409</v>
      </c>
      <c r="L1072">
        <v>44305</v>
      </c>
    </row>
    <row r="1073" spans="1:12" x14ac:dyDescent="0.35">
      <c r="A1073" t="s">
        <v>359</v>
      </c>
      <c r="B1073" t="s">
        <v>406</v>
      </c>
      <c r="C1073" t="s">
        <v>302</v>
      </c>
      <c r="D1073" t="s">
        <v>155</v>
      </c>
      <c r="E1073">
        <v>43</v>
      </c>
      <c r="F1073">
        <v>20.226030124931185</v>
      </c>
      <c r="G1073">
        <v>10.113015062465593</v>
      </c>
      <c r="H1073">
        <v>44265</v>
      </c>
    </row>
    <row r="1074" spans="1:12" x14ac:dyDescent="0.35">
      <c r="A1074" t="s">
        <v>213</v>
      </c>
      <c r="B1074" t="s">
        <v>406</v>
      </c>
      <c r="C1074" t="s">
        <v>302</v>
      </c>
      <c r="D1074" t="s">
        <v>155</v>
      </c>
      <c r="E1074">
        <v>3</v>
      </c>
      <c r="F1074">
        <v>5.2666032239222726</v>
      </c>
      <c r="G1074">
        <v>1.5799809671766818</v>
      </c>
      <c r="H1074">
        <v>44265</v>
      </c>
    </row>
    <row r="1075" spans="1:12" x14ac:dyDescent="0.35">
      <c r="A1075" t="s">
        <v>190</v>
      </c>
      <c r="B1075" t="s">
        <v>406</v>
      </c>
      <c r="C1075" t="s">
        <v>302</v>
      </c>
      <c r="D1075" t="s">
        <v>155</v>
      </c>
      <c r="E1075">
        <v>85958</v>
      </c>
      <c r="F1075">
        <v>22985.562610468416</v>
      </c>
      <c r="G1075">
        <v>11492.781305234208</v>
      </c>
      <c r="H1075">
        <v>44265</v>
      </c>
      <c r="L1075">
        <v>44602</v>
      </c>
    </row>
    <row r="1076" spans="1:12" x14ac:dyDescent="0.35">
      <c r="A1076" t="s">
        <v>162</v>
      </c>
      <c r="B1076" t="s">
        <v>406</v>
      </c>
      <c r="C1076" t="s">
        <v>302</v>
      </c>
      <c r="D1076" t="s">
        <v>155</v>
      </c>
      <c r="E1076">
        <v>7080</v>
      </c>
      <c r="F1076">
        <v>8835.3814087436713</v>
      </c>
      <c r="G1076">
        <v>5301.2288452462053</v>
      </c>
      <c r="H1076">
        <v>44265</v>
      </c>
      <c r="J1076">
        <v>44287</v>
      </c>
      <c r="K1076" t="s">
        <v>407</v>
      </c>
      <c r="L1076">
        <v>44496</v>
      </c>
    </row>
    <row r="1077" spans="1:12" x14ac:dyDescent="0.35">
      <c r="A1077" t="s">
        <v>214</v>
      </c>
      <c r="B1077" t="s">
        <v>406</v>
      </c>
      <c r="C1077" t="s">
        <v>302</v>
      </c>
      <c r="D1077" t="s">
        <v>155</v>
      </c>
      <c r="E1077">
        <v>2</v>
      </c>
      <c r="F1077">
        <v>7.9834047776110832</v>
      </c>
      <c r="G1077">
        <v>3.1933619110444336</v>
      </c>
      <c r="H1077">
        <v>44265</v>
      </c>
    </row>
    <row r="1078" spans="1:12" x14ac:dyDescent="0.35">
      <c r="A1078" t="s">
        <v>390</v>
      </c>
      <c r="B1078" t="s">
        <v>406</v>
      </c>
      <c r="C1078" t="s">
        <v>302</v>
      </c>
      <c r="D1078" t="s">
        <v>155</v>
      </c>
      <c r="E1078">
        <v>10664</v>
      </c>
      <c r="F1078">
        <v>12147.790917521752</v>
      </c>
      <c r="G1078">
        <v>6073.895458760876</v>
      </c>
      <c r="H1078">
        <v>44265</v>
      </c>
      <c r="J1078">
        <v>44287</v>
      </c>
      <c r="K1078" t="s">
        <v>407</v>
      </c>
      <c r="L1078">
        <v>44303</v>
      </c>
    </row>
    <row r="1079" spans="1:12" x14ac:dyDescent="0.35">
      <c r="A1079" t="s">
        <v>349</v>
      </c>
      <c r="B1079" t="s">
        <v>406</v>
      </c>
      <c r="C1079" t="s">
        <v>302</v>
      </c>
      <c r="D1079" t="s">
        <v>155</v>
      </c>
      <c r="E1079">
        <v>43</v>
      </c>
      <c r="F1079">
        <v>19.328848123121599</v>
      </c>
      <c r="G1079">
        <v>7.7315392492486392</v>
      </c>
      <c r="H1079">
        <v>44265</v>
      </c>
    </row>
    <row r="1080" spans="1:12" x14ac:dyDescent="0.35">
      <c r="A1080" t="s">
        <v>283</v>
      </c>
      <c r="B1080" t="s">
        <v>406</v>
      </c>
      <c r="C1080" t="s">
        <v>302</v>
      </c>
      <c r="D1080" t="s">
        <v>155</v>
      </c>
      <c r="E1080">
        <v>21144</v>
      </c>
      <c r="F1080">
        <v>19212.275392030158</v>
      </c>
      <c r="G1080">
        <v>9606.1376960150792</v>
      </c>
      <c r="H1080">
        <v>44265</v>
      </c>
      <c r="K1080" t="s">
        <v>410</v>
      </c>
      <c r="L1080">
        <v>44299</v>
      </c>
    </row>
    <row r="1081" spans="1:12" x14ac:dyDescent="0.35">
      <c r="A1081" t="s">
        <v>306</v>
      </c>
      <c r="B1081" t="s">
        <v>406</v>
      </c>
      <c r="C1081" t="s">
        <v>302</v>
      </c>
      <c r="D1081" t="s">
        <v>155</v>
      </c>
      <c r="E1081">
        <v>90592</v>
      </c>
      <c r="F1081">
        <v>14868.315304129637</v>
      </c>
      <c r="G1081">
        <v>7434.1576520648186</v>
      </c>
      <c r="H1081">
        <v>44265</v>
      </c>
      <c r="K1081" t="s">
        <v>410</v>
      </c>
      <c r="L1081">
        <v>44299</v>
      </c>
    </row>
    <row r="1082" spans="1:12" x14ac:dyDescent="0.35">
      <c r="A1082" t="s">
        <v>193</v>
      </c>
      <c r="B1082" t="s">
        <v>406</v>
      </c>
      <c r="C1082" t="s">
        <v>302</v>
      </c>
      <c r="D1082" t="s">
        <v>155</v>
      </c>
      <c r="E1082">
        <v>658</v>
      </c>
      <c r="F1082">
        <v>372.67997220141621</v>
      </c>
      <c r="G1082">
        <v>186.3399861007081</v>
      </c>
      <c r="H1082">
        <v>44265</v>
      </c>
      <c r="I1082">
        <v>44265</v>
      </c>
    </row>
    <row r="1083" spans="1:12" x14ac:dyDescent="0.35">
      <c r="A1083" t="s">
        <v>215</v>
      </c>
      <c r="B1083" t="s">
        <v>406</v>
      </c>
      <c r="C1083" t="s">
        <v>302</v>
      </c>
      <c r="D1083" t="s">
        <v>155</v>
      </c>
      <c r="E1083">
        <v>10</v>
      </c>
      <c r="F1083">
        <v>1.0322936143516066</v>
      </c>
      <c r="G1083">
        <v>0.5161468071758033</v>
      </c>
      <c r="H1083">
        <v>44265</v>
      </c>
    </row>
    <row r="1084" spans="1:12" x14ac:dyDescent="0.35">
      <c r="A1084" t="s">
        <v>186</v>
      </c>
      <c r="B1084" t="s">
        <v>406</v>
      </c>
      <c r="C1084" t="s">
        <v>302</v>
      </c>
      <c r="D1084" t="s">
        <v>155</v>
      </c>
      <c r="E1084">
        <v>214</v>
      </c>
      <c r="F1084">
        <v>20.409956587061892</v>
      </c>
      <c r="G1084">
        <v>10.204978293530946</v>
      </c>
      <c r="H1084">
        <v>44265</v>
      </c>
    </row>
    <row r="1085" spans="1:12" x14ac:dyDescent="0.35">
      <c r="A1085" t="s">
        <v>268</v>
      </c>
      <c r="B1085" t="s">
        <v>406</v>
      </c>
      <c r="C1085" t="s">
        <v>302</v>
      </c>
      <c r="D1085" t="s">
        <v>155</v>
      </c>
      <c r="E1085">
        <v>257</v>
      </c>
      <c r="F1085">
        <v>188.99838711600947</v>
      </c>
      <c r="G1085">
        <v>75.59935484640377</v>
      </c>
      <c r="H1085">
        <v>44265</v>
      </c>
    </row>
    <row r="1086" spans="1:12" x14ac:dyDescent="0.35">
      <c r="A1086" t="s">
        <v>400</v>
      </c>
      <c r="B1086" t="s">
        <v>406</v>
      </c>
      <c r="C1086" t="s">
        <v>302</v>
      </c>
      <c r="D1086" t="s">
        <v>155</v>
      </c>
      <c r="E1086">
        <v>1365037</v>
      </c>
      <c r="F1086">
        <v>175497.00918223098</v>
      </c>
      <c r="G1086">
        <v>114073.05596845003</v>
      </c>
      <c r="H1086">
        <v>44265</v>
      </c>
      <c r="J1086">
        <v>44301</v>
      </c>
      <c r="L1086">
        <v>44302</v>
      </c>
    </row>
    <row r="1087" spans="1:12" x14ac:dyDescent="0.35">
      <c r="A1087" t="s">
        <v>379</v>
      </c>
      <c r="B1087" t="s">
        <v>411</v>
      </c>
      <c r="C1087" t="s">
        <v>302</v>
      </c>
      <c r="D1087" t="s">
        <v>155</v>
      </c>
      <c r="E1087">
        <v>61</v>
      </c>
      <c r="F1087">
        <v>74.082381588280512</v>
      </c>
      <c r="G1087">
        <v>37.041190794140256</v>
      </c>
      <c r="H1087">
        <v>44285</v>
      </c>
    </row>
    <row r="1088" spans="1:12" x14ac:dyDescent="0.35">
      <c r="A1088" t="s">
        <v>383</v>
      </c>
      <c r="B1088" t="s">
        <v>411</v>
      </c>
      <c r="C1088" t="s">
        <v>302</v>
      </c>
      <c r="D1088" t="s">
        <v>155</v>
      </c>
      <c r="E1088">
        <v>2348</v>
      </c>
      <c r="F1088">
        <v>3480.6557611786184</v>
      </c>
      <c r="G1088">
        <v>1392.2623044714474</v>
      </c>
      <c r="H1088">
        <v>44285</v>
      </c>
      <c r="I1088">
        <v>44285</v>
      </c>
      <c r="L1088">
        <v>44610</v>
      </c>
    </row>
    <row r="1089" spans="1:12" x14ac:dyDescent="0.35">
      <c r="A1089" t="s">
        <v>357</v>
      </c>
      <c r="B1089" t="s">
        <v>411</v>
      </c>
      <c r="C1089" t="s">
        <v>302</v>
      </c>
      <c r="D1089" t="s">
        <v>155</v>
      </c>
      <c r="E1089">
        <v>5</v>
      </c>
      <c r="F1089">
        <v>6.5405336815367203</v>
      </c>
      <c r="G1089">
        <v>3.2702668407683602</v>
      </c>
      <c r="H1089">
        <v>44285</v>
      </c>
    </row>
    <row r="1090" spans="1:12" x14ac:dyDescent="0.35">
      <c r="A1090" t="s">
        <v>375</v>
      </c>
      <c r="B1090" t="s">
        <v>411</v>
      </c>
      <c r="C1090" t="s">
        <v>302</v>
      </c>
      <c r="D1090" t="s">
        <v>155</v>
      </c>
      <c r="E1090">
        <v>41288</v>
      </c>
      <c r="F1090">
        <v>6846.3635037053409</v>
      </c>
      <c r="G1090">
        <v>3423.1817518526705</v>
      </c>
      <c r="H1090">
        <v>44285</v>
      </c>
      <c r="L1090">
        <v>45133</v>
      </c>
    </row>
    <row r="1091" spans="1:12" x14ac:dyDescent="0.35">
      <c r="A1091" t="s">
        <v>405</v>
      </c>
      <c r="B1091" t="s">
        <v>411</v>
      </c>
      <c r="C1091" t="s">
        <v>302</v>
      </c>
      <c r="D1091" t="s">
        <v>155</v>
      </c>
      <c r="E1091">
        <v>16766</v>
      </c>
      <c r="F1091">
        <v>3132.1730652515694</v>
      </c>
      <c r="G1091">
        <v>1566.0865326257847</v>
      </c>
      <c r="H1091">
        <v>44285</v>
      </c>
      <c r="L1091">
        <v>45265</v>
      </c>
    </row>
    <row r="1092" spans="1:12" x14ac:dyDescent="0.35">
      <c r="A1092" t="s">
        <v>386</v>
      </c>
      <c r="B1092" t="s">
        <v>411</v>
      </c>
      <c r="C1092" t="s">
        <v>302</v>
      </c>
      <c r="D1092" t="s">
        <v>155</v>
      </c>
      <c r="E1092">
        <v>1142</v>
      </c>
      <c r="F1092">
        <v>513.16503285901047</v>
      </c>
      <c r="G1092">
        <v>256.58251642950523</v>
      </c>
      <c r="H1092">
        <v>44285</v>
      </c>
      <c r="L1092">
        <v>45106</v>
      </c>
    </row>
    <row r="1093" spans="1:12" x14ac:dyDescent="0.35">
      <c r="A1093" t="s">
        <v>265</v>
      </c>
      <c r="B1093" t="s">
        <v>411</v>
      </c>
      <c r="C1093" t="s">
        <v>302</v>
      </c>
      <c r="D1093" t="s">
        <v>155</v>
      </c>
      <c r="E1093">
        <v>1</v>
      </c>
      <c r="F1093">
        <v>0.11938148379778839</v>
      </c>
      <c r="G1093">
        <v>5.9690741898894194E-2</v>
      </c>
      <c r="H1093">
        <v>44285</v>
      </c>
    </row>
    <row r="1094" spans="1:12" x14ac:dyDescent="0.35">
      <c r="A1094" t="s">
        <v>326</v>
      </c>
      <c r="B1094" t="s">
        <v>411</v>
      </c>
      <c r="C1094" t="s">
        <v>302</v>
      </c>
      <c r="D1094" t="s">
        <v>155</v>
      </c>
      <c r="E1094">
        <v>67</v>
      </c>
      <c r="F1094">
        <v>83.807356012674063</v>
      </c>
      <c r="G1094">
        <v>41.903678006337032</v>
      </c>
      <c r="H1094">
        <v>44285</v>
      </c>
    </row>
    <row r="1095" spans="1:12" x14ac:dyDescent="0.35">
      <c r="A1095" t="s">
        <v>362</v>
      </c>
      <c r="B1095" t="s">
        <v>411</v>
      </c>
      <c r="C1095" t="s">
        <v>302</v>
      </c>
      <c r="D1095" t="s">
        <v>155</v>
      </c>
      <c r="E1095">
        <v>336</v>
      </c>
      <c r="F1095">
        <v>553.50698642938767</v>
      </c>
      <c r="G1095">
        <v>221.40279457175507</v>
      </c>
      <c r="H1095">
        <v>44285</v>
      </c>
      <c r="L1095">
        <v>44461</v>
      </c>
    </row>
    <row r="1096" spans="1:12" x14ac:dyDescent="0.35">
      <c r="A1096" t="s">
        <v>387</v>
      </c>
      <c r="B1096" t="s">
        <v>411</v>
      </c>
      <c r="C1096" t="s">
        <v>302</v>
      </c>
      <c r="D1096" t="s">
        <v>155</v>
      </c>
      <c r="E1096">
        <v>437</v>
      </c>
      <c r="F1096">
        <v>716.83071512276854</v>
      </c>
      <c r="G1096">
        <v>430.09842907366112</v>
      </c>
      <c r="H1096">
        <v>44285</v>
      </c>
      <c r="L1096">
        <v>44580</v>
      </c>
    </row>
    <row r="1097" spans="1:12" x14ac:dyDescent="0.35">
      <c r="A1097" t="s">
        <v>329</v>
      </c>
      <c r="B1097" t="s">
        <v>411</v>
      </c>
      <c r="C1097" t="s">
        <v>302</v>
      </c>
      <c r="D1097" t="s">
        <v>155</v>
      </c>
      <c r="E1097">
        <v>533</v>
      </c>
      <c r="F1097">
        <v>703.80319898018843</v>
      </c>
      <c r="G1097">
        <v>351.90159949009421</v>
      </c>
      <c r="H1097">
        <v>44285</v>
      </c>
      <c r="L1097">
        <v>44522</v>
      </c>
    </row>
    <row r="1098" spans="1:12" x14ac:dyDescent="0.35">
      <c r="A1098" t="s">
        <v>210</v>
      </c>
      <c r="B1098" t="s">
        <v>411</v>
      </c>
      <c r="C1098" t="s">
        <v>302</v>
      </c>
      <c r="D1098" t="s">
        <v>155</v>
      </c>
      <c r="E1098">
        <v>25</v>
      </c>
      <c r="F1098">
        <v>31.84686090312087</v>
      </c>
      <c r="G1098">
        <v>9.5540582709362614</v>
      </c>
      <c r="H1098">
        <v>44285</v>
      </c>
    </row>
    <row r="1099" spans="1:12" x14ac:dyDescent="0.35">
      <c r="A1099" t="s">
        <v>401</v>
      </c>
      <c r="B1099" t="s">
        <v>411</v>
      </c>
      <c r="C1099" t="s">
        <v>302</v>
      </c>
      <c r="D1099" t="s">
        <v>155</v>
      </c>
      <c r="E1099">
        <v>18521</v>
      </c>
      <c r="F1099">
        <v>9004.4493930254048</v>
      </c>
      <c r="G1099">
        <v>4502.2246965127024</v>
      </c>
      <c r="H1099">
        <v>44285</v>
      </c>
      <c r="L1099">
        <v>44326</v>
      </c>
    </row>
    <row r="1100" spans="1:12" x14ac:dyDescent="0.35">
      <c r="A1100" t="s">
        <v>366</v>
      </c>
      <c r="B1100" t="s">
        <v>411</v>
      </c>
      <c r="C1100" t="s">
        <v>302</v>
      </c>
      <c r="D1100" t="s">
        <v>155</v>
      </c>
      <c r="E1100">
        <v>92</v>
      </c>
      <c r="F1100">
        <v>85.515351411476246</v>
      </c>
      <c r="G1100">
        <v>42.757675705738123</v>
      </c>
      <c r="H1100">
        <v>44285</v>
      </c>
      <c r="L1100">
        <v>45442</v>
      </c>
    </row>
    <row r="1101" spans="1:12" x14ac:dyDescent="0.35">
      <c r="A1101" t="s">
        <v>332</v>
      </c>
      <c r="B1101" t="s">
        <v>411</v>
      </c>
      <c r="C1101" t="s">
        <v>302</v>
      </c>
      <c r="D1101" t="s">
        <v>155</v>
      </c>
      <c r="E1101">
        <v>65</v>
      </c>
      <c r="F1101">
        <v>113.84827669528471</v>
      </c>
      <c r="G1101">
        <v>45.539310678113885</v>
      </c>
      <c r="H1101">
        <v>44285</v>
      </c>
    </row>
    <row r="1102" spans="1:12" x14ac:dyDescent="0.35">
      <c r="A1102" t="s">
        <v>314</v>
      </c>
      <c r="B1102" t="s">
        <v>411</v>
      </c>
      <c r="C1102" t="s">
        <v>302</v>
      </c>
      <c r="D1102" t="s">
        <v>155</v>
      </c>
      <c r="E1102">
        <v>2763</v>
      </c>
      <c r="F1102">
        <v>5932.2203809460243</v>
      </c>
      <c r="G1102">
        <v>1779.6661142838072</v>
      </c>
      <c r="H1102">
        <v>44285</v>
      </c>
      <c r="J1102">
        <v>44359</v>
      </c>
      <c r="K1102" t="s">
        <v>412</v>
      </c>
      <c r="L1102">
        <v>44691</v>
      </c>
    </row>
    <row r="1103" spans="1:12" x14ac:dyDescent="0.35">
      <c r="A1103" t="s">
        <v>30</v>
      </c>
      <c r="B1103" t="s">
        <v>411</v>
      </c>
      <c r="C1103" t="s">
        <v>302</v>
      </c>
      <c r="D1103" t="s">
        <v>155</v>
      </c>
      <c r="E1103">
        <v>96058</v>
      </c>
      <c r="F1103">
        <v>31838.602539589898</v>
      </c>
      <c r="G1103">
        <v>15919.301269794949</v>
      </c>
      <c r="H1103">
        <v>44285</v>
      </c>
    </row>
    <row r="1104" spans="1:12" x14ac:dyDescent="0.35">
      <c r="A1104" t="s">
        <v>347</v>
      </c>
      <c r="B1104" t="s">
        <v>411</v>
      </c>
      <c r="C1104" t="s">
        <v>302</v>
      </c>
      <c r="D1104" t="s">
        <v>155</v>
      </c>
      <c r="E1104">
        <v>44</v>
      </c>
      <c r="F1104">
        <v>58.145811764037632</v>
      </c>
      <c r="G1104">
        <v>17.443743529211289</v>
      </c>
      <c r="H1104">
        <v>44285</v>
      </c>
    </row>
    <row r="1105" spans="1:12" x14ac:dyDescent="0.35">
      <c r="A1105" t="s">
        <v>388</v>
      </c>
      <c r="B1105" t="s">
        <v>411</v>
      </c>
      <c r="C1105" t="s">
        <v>302</v>
      </c>
      <c r="D1105" t="s">
        <v>155</v>
      </c>
      <c r="E1105">
        <v>5251</v>
      </c>
      <c r="F1105">
        <v>9711.9126474288641</v>
      </c>
      <c r="G1105">
        <v>4855.9563237144321</v>
      </c>
      <c r="H1105">
        <v>44285</v>
      </c>
      <c r="J1105">
        <v>44359</v>
      </c>
      <c r="K1105" t="s">
        <v>413</v>
      </c>
      <c r="L1105">
        <v>44365</v>
      </c>
    </row>
    <row r="1106" spans="1:12" x14ac:dyDescent="0.35">
      <c r="A1106" t="s">
        <v>359</v>
      </c>
      <c r="B1106" t="s">
        <v>411</v>
      </c>
      <c r="C1106" t="s">
        <v>302</v>
      </c>
      <c r="D1106" t="s">
        <v>155</v>
      </c>
      <c r="E1106">
        <v>60</v>
      </c>
      <c r="F1106">
        <v>7.162889027867303</v>
      </c>
      <c r="G1106">
        <v>3.5814445139336515</v>
      </c>
      <c r="H1106">
        <v>44285</v>
      </c>
    </row>
    <row r="1107" spans="1:12" x14ac:dyDescent="0.35">
      <c r="A1107" t="s">
        <v>190</v>
      </c>
      <c r="B1107" t="s">
        <v>411</v>
      </c>
      <c r="C1107" t="s">
        <v>302</v>
      </c>
      <c r="D1107" t="s">
        <v>155</v>
      </c>
      <c r="E1107">
        <v>30193</v>
      </c>
      <c r="F1107">
        <v>8106.9569152305885</v>
      </c>
      <c r="G1107">
        <v>4053.4784576152942</v>
      </c>
      <c r="H1107">
        <v>44285</v>
      </c>
      <c r="L1107">
        <v>44602</v>
      </c>
    </row>
    <row r="1108" spans="1:12" x14ac:dyDescent="0.35">
      <c r="A1108" t="s">
        <v>162</v>
      </c>
      <c r="B1108" t="s">
        <v>411</v>
      </c>
      <c r="C1108" t="s">
        <v>302</v>
      </c>
      <c r="D1108" t="s">
        <v>155</v>
      </c>
      <c r="E1108">
        <v>2613</v>
      </c>
      <c r="F1108">
        <v>3175.0329723718451</v>
      </c>
      <c r="G1108">
        <v>1905.0197834231074</v>
      </c>
      <c r="H1108">
        <v>44285</v>
      </c>
      <c r="J1108">
        <v>44359</v>
      </c>
      <c r="K1108" t="s">
        <v>412</v>
      </c>
      <c r="L1108">
        <v>44496</v>
      </c>
    </row>
    <row r="1109" spans="1:12" x14ac:dyDescent="0.35">
      <c r="A1109" t="s">
        <v>214</v>
      </c>
      <c r="B1109" t="s">
        <v>411</v>
      </c>
      <c r="C1109" t="s">
        <v>302</v>
      </c>
      <c r="D1109" t="s">
        <v>155</v>
      </c>
      <c r="E1109">
        <v>2</v>
      </c>
      <c r="F1109">
        <v>0.23876296759557677</v>
      </c>
      <c r="G1109">
        <v>9.5505187038230716E-2</v>
      </c>
      <c r="H1109">
        <v>44285</v>
      </c>
    </row>
    <row r="1110" spans="1:12" x14ac:dyDescent="0.35">
      <c r="A1110" t="s">
        <v>390</v>
      </c>
      <c r="B1110" t="s">
        <v>411</v>
      </c>
      <c r="C1110" t="s">
        <v>302</v>
      </c>
      <c r="D1110" t="s">
        <v>155</v>
      </c>
      <c r="E1110">
        <v>2959</v>
      </c>
      <c r="F1110">
        <v>1409.7618177868017</v>
      </c>
      <c r="G1110">
        <v>704.88090889340083</v>
      </c>
      <c r="H1110">
        <v>44285</v>
      </c>
      <c r="L1110">
        <v>44303</v>
      </c>
    </row>
    <row r="1111" spans="1:12" x14ac:dyDescent="0.35">
      <c r="A1111" t="s">
        <v>349</v>
      </c>
      <c r="B1111" t="s">
        <v>411</v>
      </c>
      <c r="C1111" t="s">
        <v>302</v>
      </c>
      <c r="D1111" t="s">
        <v>155</v>
      </c>
      <c r="E1111">
        <v>13</v>
      </c>
      <c r="F1111">
        <v>4.5237724206451384</v>
      </c>
      <c r="G1111">
        <v>1.8095089682580556</v>
      </c>
      <c r="H1111">
        <v>44285</v>
      </c>
    </row>
    <row r="1112" spans="1:12" x14ac:dyDescent="0.35">
      <c r="A1112" t="s">
        <v>283</v>
      </c>
      <c r="B1112" t="s">
        <v>411</v>
      </c>
      <c r="C1112" t="s">
        <v>302</v>
      </c>
      <c r="D1112" t="s">
        <v>155</v>
      </c>
      <c r="E1112">
        <v>8318</v>
      </c>
      <c r="F1112">
        <v>7468.0228834971549</v>
      </c>
      <c r="G1112">
        <v>3734.0114417485775</v>
      </c>
      <c r="H1112">
        <v>44285</v>
      </c>
      <c r="K1112" t="s">
        <v>414</v>
      </c>
      <c r="L1112">
        <v>44385</v>
      </c>
    </row>
    <row r="1113" spans="1:12" x14ac:dyDescent="0.35">
      <c r="A1113" t="s">
        <v>306</v>
      </c>
      <c r="B1113" t="s">
        <v>411</v>
      </c>
      <c r="C1113" t="s">
        <v>302</v>
      </c>
      <c r="D1113" t="s">
        <v>155</v>
      </c>
      <c r="E1113">
        <v>55564</v>
      </c>
      <c r="F1113">
        <v>8660.9364338712112</v>
      </c>
      <c r="G1113" t="s">
        <v>153</v>
      </c>
      <c r="H1113">
        <v>44285</v>
      </c>
      <c r="K1113" t="s">
        <v>414</v>
      </c>
      <c r="L1113">
        <v>44385</v>
      </c>
    </row>
    <row r="1114" spans="1:12" x14ac:dyDescent="0.35">
      <c r="A1114" t="s">
        <v>193</v>
      </c>
      <c r="B1114" t="s">
        <v>411</v>
      </c>
      <c r="C1114" t="s">
        <v>302</v>
      </c>
      <c r="D1114" t="s">
        <v>155</v>
      </c>
      <c r="E1114">
        <v>179</v>
      </c>
      <c r="F1114">
        <v>123.6510636256227</v>
      </c>
      <c r="G1114">
        <v>61.825531812811349</v>
      </c>
      <c r="H1114">
        <v>44285</v>
      </c>
      <c r="I1114">
        <v>44285</v>
      </c>
    </row>
    <row r="1115" spans="1:12" x14ac:dyDescent="0.35">
      <c r="A1115" t="s">
        <v>186</v>
      </c>
      <c r="B1115" t="s">
        <v>411</v>
      </c>
      <c r="C1115" t="s">
        <v>302</v>
      </c>
      <c r="D1115" t="s">
        <v>155</v>
      </c>
      <c r="E1115">
        <v>68</v>
      </c>
      <c r="F1115">
        <v>8.1179408982496106</v>
      </c>
      <c r="G1115">
        <v>4.0589704491248053</v>
      </c>
      <c r="H1115">
        <v>44285</v>
      </c>
    </row>
    <row r="1116" spans="1:12" x14ac:dyDescent="0.35">
      <c r="A1116" t="s">
        <v>268</v>
      </c>
      <c r="B1116" t="s">
        <v>411</v>
      </c>
      <c r="C1116" t="s">
        <v>302</v>
      </c>
      <c r="D1116" t="s">
        <v>155</v>
      </c>
      <c r="E1116">
        <v>91</v>
      </c>
      <c r="F1116">
        <v>79.26036659676214</v>
      </c>
      <c r="G1116">
        <v>31.704146638704863</v>
      </c>
      <c r="H1116">
        <v>44285</v>
      </c>
    </row>
    <row r="1117" spans="1:12" x14ac:dyDescent="0.35">
      <c r="A1117" t="s">
        <v>400</v>
      </c>
      <c r="B1117" t="s">
        <v>411</v>
      </c>
      <c r="C1117" t="s">
        <v>302</v>
      </c>
      <c r="D1117" t="s">
        <v>155</v>
      </c>
      <c r="E1117">
        <v>258328</v>
      </c>
      <c r="F1117">
        <v>34909.721098171292</v>
      </c>
      <c r="G1117">
        <v>22691.318713811368</v>
      </c>
      <c r="H1117">
        <v>44285</v>
      </c>
      <c r="J1117">
        <v>44301</v>
      </c>
      <c r="L1117">
        <v>44302</v>
      </c>
    </row>
    <row r="1118" spans="1:12" x14ac:dyDescent="0.35">
      <c r="A1118" t="s">
        <v>379</v>
      </c>
      <c r="B1118" t="s">
        <v>415</v>
      </c>
      <c r="C1118" t="s">
        <v>302</v>
      </c>
      <c r="D1118" t="s">
        <v>155</v>
      </c>
      <c r="E1118">
        <v>38</v>
      </c>
      <c r="F1118">
        <v>39.017339968092315</v>
      </c>
      <c r="G1118">
        <v>19.508669984046158</v>
      </c>
      <c r="H1118">
        <v>44322</v>
      </c>
    </row>
    <row r="1119" spans="1:12" x14ac:dyDescent="0.35">
      <c r="A1119" t="s">
        <v>383</v>
      </c>
      <c r="B1119" t="s">
        <v>415</v>
      </c>
      <c r="C1119" t="s">
        <v>302</v>
      </c>
      <c r="D1119" t="s">
        <v>155</v>
      </c>
      <c r="E1119">
        <v>2378</v>
      </c>
      <c r="F1119">
        <v>4431.8952906931854</v>
      </c>
      <c r="G1119">
        <v>1772.7581162772731</v>
      </c>
      <c r="H1119">
        <v>44322</v>
      </c>
      <c r="L1119">
        <v>44610</v>
      </c>
    </row>
    <row r="1120" spans="1:12" x14ac:dyDescent="0.35">
      <c r="A1120" t="s">
        <v>357</v>
      </c>
      <c r="B1120" t="s">
        <v>415</v>
      </c>
      <c r="C1120" t="s">
        <v>302</v>
      </c>
      <c r="D1120" t="s">
        <v>155</v>
      </c>
      <c r="E1120">
        <v>57</v>
      </c>
      <c r="F1120">
        <v>132.55797153516002</v>
      </c>
      <c r="G1120">
        <v>66.278985767580011</v>
      </c>
      <c r="H1120">
        <v>44322</v>
      </c>
    </row>
    <row r="1121" spans="1:12" x14ac:dyDescent="0.35">
      <c r="A1121" t="s">
        <v>375</v>
      </c>
      <c r="B1121" t="s">
        <v>415</v>
      </c>
      <c r="C1121" t="s">
        <v>302</v>
      </c>
      <c r="D1121" t="s">
        <v>155</v>
      </c>
      <c r="E1121">
        <v>39957</v>
      </c>
      <c r="F1121">
        <v>7241.7223260138053</v>
      </c>
      <c r="G1121">
        <v>3620.8611630069026</v>
      </c>
      <c r="H1121">
        <v>44322</v>
      </c>
      <c r="L1121">
        <v>45133</v>
      </c>
    </row>
    <row r="1122" spans="1:12" x14ac:dyDescent="0.35">
      <c r="A1122" t="s">
        <v>405</v>
      </c>
      <c r="B1122" t="s">
        <v>415</v>
      </c>
      <c r="C1122" t="s">
        <v>302</v>
      </c>
      <c r="D1122" t="s">
        <v>155</v>
      </c>
      <c r="E1122">
        <v>18498</v>
      </c>
      <c r="F1122">
        <v>2792.3480160384602</v>
      </c>
      <c r="G1122">
        <v>1396.1740080192301</v>
      </c>
      <c r="H1122">
        <v>44322</v>
      </c>
      <c r="L1122">
        <v>45265</v>
      </c>
    </row>
    <row r="1123" spans="1:12" x14ac:dyDescent="0.35">
      <c r="A1123" t="s">
        <v>386</v>
      </c>
      <c r="B1123" t="s">
        <v>415</v>
      </c>
      <c r="C1123" t="s">
        <v>302</v>
      </c>
      <c r="D1123" t="s">
        <v>155</v>
      </c>
      <c r="E1123">
        <v>1102</v>
      </c>
      <c r="F1123">
        <v>549.97704570157327</v>
      </c>
      <c r="G1123">
        <v>274.98852285078664</v>
      </c>
      <c r="H1123">
        <v>44322</v>
      </c>
      <c r="L1123">
        <v>45106</v>
      </c>
    </row>
    <row r="1124" spans="1:12" x14ac:dyDescent="0.35">
      <c r="A1124" t="s">
        <v>265</v>
      </c>
      <c r="B1124" t="s">
        <v>415</v>
      </c>
      <c r="C1124" t="s">
        <v>302</v>
      </c>
      <c r="D1124" t="s">
        <v>155</v>
      </c>
      <c r="E1124">
        <v>2</v>
      </c>
      <c r="F1124">
        <v>0.2485401444956957</v>
      </c>
      <c r="G1124">
        <v>0.12427007224784785</v>
      </c>
      <c r="H1124">
        <v>44322</v>
      </c>
    </row>
    <row r="1125" spans="1:12" x14ac:dyDescent="0.35">
      <c r="A1125" t="s">
        <v>326</v>
      </c>
      <c r="B1125" t="s">
        <v>415</v>
      </c>
      <c r="C1125" t="s">
        <v>302</v>
      </c>
      <c r="D1125" t="s">
        <v>155</v>
      </c>
      <c r="E1125">
        <v>85</v>
      </c>
      <c r="F1125">
        <v>125.47996660608432</v>
      </c>
      <c r="G1125">
        <v>62.739983303042159</v>
      </c>
      <c r="H1125">
        <v>44322</v>
      </c>
    </row>
    <row r="1126" spans="1:12" x14ac:dyDescent="0.35">
      <c r="A1126" t="s">
        <v>362</v>
      </c>
      <c r="B1126" t="s">
        <v>415</v>
      </c>
      <c r="C1126" t="s">
        <v>302</v>
      </c>
      <c r="D1126" t="s">
        <v>155</v>
      </c>
      <c r="E1126">
        <v>1184</v>
      </c>
      <c r="F1126">
        <v>3035.7576845031276</v>
      </c>
      <c r="G1126">
        <v>1214.3030738012508</v>
      </c>
      <c r="H1126">
        <v>44322</v>
      </c>
      <c r="L1126">
        <v>44461</v>
      </c>
    </row>
    <row r="1127" spans="1:12" x14ac:dyDescent="0.35">
      <c r="A1127" t="s">
        <v>416</v>
      </c>
      <c r="B1127" t="s">
        <v>415</v>
      </c>
      <c r="C1127" t="s">
        <v>302</v>
      </c>
      <c r="D1127" t="s">
        <v>155</v>
      </c>
      <c r="E1127">
        <v>777</v>
      </c>
      <c r="F1127">
        <v>788.76414981597122</v>
      </c>
      <c r="G1127">
        <v>394.38207490798561</v>
      </c>
      <c r="H1127">
        <v>44322</v>
      </c>
    </row>
    <row r="1128" spans="1:12" x14ac:dyDescent="0.35">
      <c r="A1128" t="s">
        <v>417</v>
      </c>
      <c r="B1128" t="s">
        <v>415</v>
      </c>
      <c r="C1128" t="s">
        <v>302</v>
      </c>
      <c r="D1128" t="s">
        <v>155</v>
      </c>
      <c r="E1128">
        <v>4208</v>
      </c>
      <c r="F1128">
        <v>1821.5380685430157</v>
      </c>
      <c r="G1128">
        <v>910.76903427150785</v>
      </c>
      <c r="H1128">
        <v>44322</v>
      </c>
    </row>
    <row r="1129" spans="1:12" x14ac:dyDescent="0.35">
      <c r="A1129" t="s">
        <v>387</v>
      </c>
      <c r="B1129" t="s">
        <v>415</v>
      </c>
      <c r="C1129" t="s">
        <v>302</v>
      </c>
      <c r="D1129" t="s">
        <v>155</v>
      </c>
      <c r="E1129">
        <v>263</v>
      </c>
      <c r="F1129">
        <v>546.16470916438027</v>
      </c>
      <c r="G1129">
        <v>327.69882549862814</v>
      </c>
      <c r="H1129">
        <v>44322</v>
      </c>
      <c r="L1129">
        <v>44580</v>
      </c>
    </row>
    <row r="1130" spans="1:12" x14ac:dyDescent="0.35">
      <c r="A1130" t="s">
        <v>329</v>
      </c>
      <c r="B1130" t="s">
        <v>415</v>
      </c>
      <c r="C1130" t="s">
        <v>302</v>
      </c>
      <c r="D1130" t="s">
        <v>155</v>
      </c>
      <c r="E1130">
        <v>383</v>
      </c>
      <c r="F1130">
        <v>474.14130103218008</v>
      </c>
      <c r="G1130">
        <v>237.07065051609004</v>
      </c>
      <c r="H1130">
        <v>44322</v>
      </c>
      <c r="L1130">
        <v>44522</v>
      </c>
    </row>
    <row r="1131" spans="1:12" x14ac:dyDescent="0.35">
      <c r="A1131" t="s">
        <v>210</v>
      </c>
      <c r="B1131" t="s">
        <v>415</v>
      </c>
      <c r="C1131" t="s">
        <v>302</v>
      </c>
      <c r="D1131" t="s">
        <v>155</v>
      </c>
      <c r="E1131">
        <v>6</v>
      </c>
      <c r="F1131">
        <v>5.6633313354390191</v>
      </c>
      <c r="G1131">
        <v>1.6989994006317057</v>
      </c>
      <c r="H1131">
        <v>44322</v>
      </c>
    </row>
    <row r="1132" spans="1:12" x14ac:dyDescent="0.35">
      <c r="A1132" t="s">
        <v>401</v>
      </c>
      <c r="B1132" t="s">
        <v>415</v>
      </c>
      <c r="C1132" t="s">
        <v>302</v>
      </c>
      <c r="D1132" t="s">
        <v>155</v>
      </c>
      <c r="E1132">
        <v>13514</v>
      </c>
      <c r="F1132">
        <v>8955.9201876860679</v>
      </c>
      <c r="G1132">
        <v>4477.960093843034</v>
      </c>
      <c r="H1132">
        <v>44322</v>
      </c>
    </row>
    <row r="1133" spans="1:12" x14ac:dyDescent="0.35">
      <c r="A1133" t="s">
        <v>418</v>
      </c>
      <c r="B1133" t="s">
        <v>415</v>
      </c>
      <c r="C1133" t="s">
        <v>302</v>
      </c>
      <c r="D1133" t="s">
        <v>155</v>
      </c>
      <c r="E1133">
        <v>1</v>
      </c>
      <c r="F1133">
        <v>4.7619913465470622</v>
      </c>
      <c r="G1133">
        <v>2.3809956732735311</v>
      </c>
      <c r="H1133">
        <v>44322</v>
      </c>
    </row>
    <row r="1134" spans="1:12" x14ac:dyDescent="0.35">
      <c r="A1134" t="s">
        <v>366</v>
      </c>
      <c r="B1134" t="s">
        <v>415</v>
      </c>
      <c r="C1134" t="s">
        <v>302</v>
      </c>
      <c r="D1134" t="s">
        <v>155</v>
      </c>
      <c r="E1134">
        <v>97</v>
      </c>
      <c r="F1134">
        <v>124.17645780968827</v>
      </c>
      <c r="G1134">
        <v>62.088228904844136</v>
      </c>
      <c r="H1134">
        <v>44322</v>
      </c>
      <c r="L1134">
        <v>45442</v>
      </c>
    </row>
    <row r="1135" spans="1:12" x14ac:dyDescent="0.35">
      <c r="A1135" t="s">
        <v>332</v>
      </c>
      <c r="B1135" t="s">
        <v>415</v>
      </c>
      <c r="C1135" t="s">
        <v>302</v>
      </c>
      <c r="D1135" t="s">
        <v>155</v>
      </c>
      <c r="E1135">
        <v>68</v>
      </c>
      <c r="F1135">
        <v>130.48208037093877</v>
      </c>
      <c r="G1135">
        <v>52.192832148375516</v>
      </c>
      <c r="H1135">
        <v>44322</v>
      </c>
    </row>
    <row r="1136" spans="1:12" x14ac:dyDescent="0.35">
      <c r="A1136" t="s">
        <v>314</v>
      </c>
      <c r="B1136" t="s">
        <v>415</v>
      </c>
      <c r="C1136" t="s">
        <v>302</v>
      </c>
      <c r="D1136" t="s">
        <v>155</v>
      </c>
      <c r="E1136">
        <v>2327</v>
      </c>
      <c r="F1136">
        <v>6207.6257566900395</v>
      </c>
      <c r="G1136">
        <v>1862.2877270070123</v>
      </c>
      <c r="H1136">
        <v>44322</v>
      </c>
      <c r="J1136">
        <v>44359</v>
      </c>
      <c r="K1136" t="s">
        <v>419</v>
      </c>
      <c r="L1136">
        <v>44691</v>
      </c>
    </row>
    <row r="1137" spans="1:12" x14ac:dyDescent="0.35">
      <c r="A1137" t="s">
        <v>30</v>
      </c>
      <c r="B1137" t="s">
        <v>415</v>
      </c>
      <c r="C1137" t="s">
        <v>302</v>
      </c>
      <c r="D1137" t="s">
        <v>155</v>
      </c>
      <c r="E1137">
        <v>70516</v>
      </c>
      <c r="F1137">
        <v>28129.081830144962</v>
      </c>
      <c r="G1137">
        <v>14064.540915072481</v>
      </c>
      <c r="H1137">
        <v>44322</v>
      </c>
    </row>
    <row r="1138" spans="1:12" x14ac:dyDescent="0.35">
      <c r="A1138" t="s">
        <v>347</v>
      </c>
      <c r="B1138" t="s">
        <v>415</v>
      </c>
      <c r="C1138" t="s">
        <v>302</v>
      </c>
      <c r="D1138" t="s">
        <v>155</v>
      </c>
      <c r="E1138">
        <v>27</v>
      </c>
      <c r="F1138">
        <v>35.070725616050503</v>
      </c>
      <c r="G1138">
        <v>10.521217684815152</v>
      </c>
      <c r="H1138">
        <v>44322</v>
      </c>
    </row>
    <row r="1139" spans="1:12" x14ac:dyDescent="0.35">
      <c r="A1139" t="s">
        <v>420</v>
      </c>
      <c r="B1139" t="s">
        <v>415</v>
      </c>
      <c r="C1139" t="s">
        <v>302</v>
      </c>
      <c r="D1139" t="s">
        <v>155</v>
      </c>
      <c r="E1139">
        <v>10</v>
      </c>
      <c r="F1139">
        <v>10.798132898729625</v>
      </c>
      <c r="G1139">
        <v>5.3990664493648124</v>
      </c>
      <c r="H1139">
        <v>44322</v>
      </c>
    </row>
    <row r="1140" spans="1:12" x14ac:dyDescent="0.35">
      <c r="A1140" t="s">
        <v>388</v>
      </c>
      <c r="B1140" t="s">
        <v>415</v>
      </c>
      <c r="C1140" t="s">
        <v>302</v>
      </c>
      <c r="D1140" t="s">
        <v>155</v>
      </c>
      <c r="E1140">
        <v>3768</v>
      </c>
      <c r="F1140">
        <v>8194.0680375829088</v>
      </c>
      <c r="G1140">
        <v>4097.0340187914544</v>
      </c>
      <c r="H1140">
        <v>44322</v>
      </c>
      <c r="J1140">
        <v>44359</v>
      </c>
      <c r="K1140" t="s">
        <v>421</v>
      </c>
      <c r="L1140">
        <v>44365</v>
      </c>
    </row>
    <row r="1141" spans="1:12" x14ac:dyDescent="0.35">
      <c r="A1141" t="s">
        <v>359</v>
      </c>
      <c r="B1141" t="s">
        <v>415</v>
      </c>
      <c r="C1141" t="s">
        <v>302</v>
      </c>
      <c r="D1141" t="s">
        <v>155</v>
      </c>
      <c r="E1141">
        <v>39</v>
      </c>
      <c r="F1141">
        <v>4.8465328176660663</v>
      </c>
      <c r="G1141">
        <v>2.4232664088330331</v>
      </c>
      <c r="H1141">
        <v>44322</v>
      </c>
    </row>
    <row r="1142" spans="1:12" x14ac:dyDescent="0.35">
      <c r="A1142" t="s">
        <v>213</v>
      </c>
      <c r="B1142" t="s">
        <v>415</v>
      </c>
      <c r="C1142" t="s">
        <v>302</v>
      </c>
      <c r="D1142" t="s">
        <v>155</v>
      </c>
      <c r="E1142">
        <v>2</v>
      </c>
      <c r="F1142">
        <v>0.2485401444956957</v>
      </c>
      <c r="G1142">
        <v>7.4562043348708709E-2</v>
      </c>
      <c r="H1142">
        <v>44322</v>
      </c>
    </row>
    <row r="1143" spans="1:12" x14ac:dyDescent="0.35">
      <c r="A1143" t="s">
        <v>190</v>
      </c>
      <c r="B1143" t="s">
        <v>415</v>
      </c>
      <c r="C1143" t="s">
        <v>302</v>
      </c>
      <c r="D1143" t="s">
        <v>155</v>
      </c>
      <c r="E1143">
        <v>31817</v>
      </c>
      <c r="F1143">
        <v>8132.0067515948367</v>
      </c>
      <c r="G1143">
        <v>4066.0033757974184</v>
      </c>
      <c r="H1143">
        <v>44322</v>
      </c>
      <c r="L1143">
        <v>44602</v>
      </c>
    </row>
    <row r="1144" spans="1:12" x14ac:dyDescent="0.35">
      <c r="A1144" t="s">
        <v>162</v>
      </c>
      <c r="B1144" t="s">
        <v>415</v>
      </c>
      <c r="C1144" t="s">
        <v>302</v>
      </c>
      <c r="D1144" t="s">
        <v>155</v>
      </c>
      <c r="E1144">
        <v>2779</v>
      </c>
      <c r="F1144">
        <v>4987.2646416094894</v>
      </c>
      <c r="G1144">
        <v>2992.3587849656974</v>
      </c>
      <c r="H1144">
        <v>44322</v>
      </c>
      <c r="J1144">
        <v>44359</v>
      </c>
      <c r="K1144" t="s">
        <v>419</v>
      </c>
      <c r="L1144">
        <v>44496</v>
      </c>
    </row>
    <row r="1145" spans="1:12" x14ac:dyDescent="0.35">
      <c r="A1145" t="s">
        <v>422</v>
      </c>
      <c r="B1145" t="s">
        <v>415</v>
      </c>
      <c r="C1145" t="s">
        <v>302</v>
      </c>
      <c r="D1145" t="s">
        <v>155</v>
      </c>
      <c r="E1145">
        <v>51</v>
      </c>
      <c r="F1145">
        <v>123.23516708448734</v>
      </c>
      <c r="G1145">
        <v>74</v>
      </c>
      <c r="H1145">
        <v>44322</v>
      </c>
    </row>
    <row r="1146" spans="1:12" x14ac:dyDescent="0.35">
      <c r="A1146" t="s">
        <v>390</v>
      </c>
      <c r="B1146" t="s">
        <v>415</v>
      </c>
      <c r="C1146" t="s">
        <v>302</v>
      </c>
      <c r="D1146" t="s">
        <v>155</v>
      </c>
      <c r="E1146">
        <v>3261</v>
      </c>
      <c r="F1146">
        <v>1507.8661172040383</v>
      </c>
      <c r="G1146">
        <v>753.93305860201917</v>
      </c>
      <c r="H1146">
        <v>44322</v>
      </c>
      <c r="J1146">
        <v>44359</v>
      </c>
      <c r="K1146" t="s">
        <v>419</v>
      </c>
      <c r="L1146">
        <v>44522</v>
      </c>
    </row>
    <row r="1147" spans="1:12" x14ac:dyDescent="0.35">
      <c r="A1147" t="s">
        <v>349</v>
      </c>
      <c r="B1147" t="s">
        <v>415</v>
      </c>
      <c r="C1147" t="s">
        <v>302</v>
      </c>
      <c r="D1147" t="s">
        <v>155</v>
      </c>
      <c r="E1147">
        <v>3</v>
      </c>
      <c r="F1147">
        <v>0.37281021674354353</v>
      </c>
      <c r="G1147">
        <v>0.14912408669741742</v>
      </c>
      <c r="H1147">
        <v>44322</v>
      </c>
    </row>
    <row r="1148" spans="1:12" x14ac:dyDescent="0.35">
      <c r="A1148" t="s">
        <v>283</v>
      </c>
      <c r="B1148" t="s">
        <v>415</v>
      </c>
      <c r="C1148" t="s">
        <v>302</v>
      </c>
      <c r="D1148" t="s">
        <v>155</v>
      </c>
      <c r="E1148">
        <v>10077</v>
      </c>
      <c r="F1148">
        <v>5725.1855962959398</v>
      </c>
      <c r="G1148">
        <v>2862.5927981479699</v>
      </c>
      <c r="H1148">
        <v>44322</v>
      </c>
      <c r="K1148" t="s">
        <v>423</v>
      </c>
      <c r="L1148">
        <v>44385</v>
      </c>
    </row>
    <row r="1149" spans="1:12" x14ac:dyDescent="0.35">
      <c r="A1149" t="s">
        <v>306</v>
      </c>
      <c r="B1149" t="s">
        <v>415</v>
      </c>
      <c r="C1149" t="s">
        <v>302</v>
      </c>
      <c r="D1149" t="s">
        <v>155</v>
      </c>
      <c r="E1149">
        <v>55868</v>
      </c>
      <c r="F1149">
        <v>10368.864619991464</v>
      </c>
      <c r="G1149" t="s">
        <v>153</v>
      </c>
      <c r="H1149">
        <v>44322</v>
      </c>
      <c r="K1149" t="s">
        <v>423</v>
      </c>
      <c r="L1149">
        <v>44385</v>
      </c>
    </row>
    <row r="1150" spans="1:12" x14ac:dyDescent="0.35">
      <c r="A1150" t="s">
        <v>193</v>
      </c>
      <c r="B1150" t="s">
        <v>415</v>
      </c>
      <c r="C1150" t="s">
        <v>302</v>
      </c>
      <c r="D1150" t="s">
        <v>155</v>
      </c>
      <c r="E1150">
        <v>72</v>
      </c>
      <c r="F1150">
        <v>18.922861819575267</v>
      </c>
      <c r="G1150">
        <v>9.4614309097876337</v>
      </c>
      <c r="H1150">
        <v>44322</v>
      </c>
      <c r="I1150">
        <v>44322</v>
      </c>
    </row>
    <row r="1151" spans="1:12" x14ac:dyDescent="0.35">
      <c r="A1151" t="s">
        <v>186</v>
      </c>
      <c r="B1151" t="s">
        <v>415</v>
      </c>
      <c r="C1151" t="s">
        <v>302</v>
      </c>
      <c r="D1151" t="s">
        <v>155</v>
      </c>
      <c r="E1151">
        <v>49</v>
      </c>
      <c r="F1151">
        <v>6.0892335401445443</v>
      </c>
      <c r="G1151">
        <v>3.0446167700722722</v>
      </c>
      <c r="H1151">
        <v>44322</v>
      </c>
    </row>
    <row r="1152" spans="1:12" x14ac:dyDescent="0.35">
      <c r="A1152" t="s">
        <v>268</v>
      </c>
      <c r="B1152" t="s">
        <v>415</v>
      </c>
      <c r="C1152" t="s">
        <v>302</v>
      </c>
      <c r="D1152" t="s">
        <v>155</v>
      </c>
      <c r="E1152">
        <v>42</v>
      </c>
      <c r="F1152">
        <v>79.421732032029496</v>
      </c>
      <c r="G1152">
        <v>31.7686928128118</v>
      </c>
      <c r="H1152">
        <v>44322</v>
      </c>
    </row>
    <row r="1153" spans="1:12" x14ac:dyDescent="0.35">
      <c r="A1153" t="s">
        <v>400</v>
      </c>
      <c r="B1153" t="s">
        <v>415</v>
      </c>
      <c r="C1153" t="s">
        <v>302</v>
      </c>
      <c r="D1153" t="s">
        <v>155</v>
      </c>
      <c r="E1153">
        <v>239353</v>
      </c>
      <c r="F1153">
        <v>34847.234728328949</v>
      </c>
      <c r="G1153">
        <v>22650.702573413844</v>
      </c>
      <c r="H1153">
        <v>44322</v>
      </c>
      <c r="J1153">
        <v>44359</v>
      </c>
      <c r="L1153">
        <v>44476</v>
      </c>
    </row>
    <row r="1154" spans="1:12" x14ac:dyDescent="0.35">
      <c r="A1154" t="s">
        <v>379</v>
      </c>
      <c r="B1154" t="s">
        <v>424</v>
      </c>
      <c r="C1154" t="s">
        <v>302</v>
      </c>
      <c r="D1154" t="s">
        <v>155</v>
      </c>
      <c r="E1154">
        <v>110</v>
      </c>
      <c r="F1154">
        <v>141.97089514480422</v>
      </c>
      <c r="G1154">
        <v>70.985447572402109</v>
      </c>
      <c r="H1154">
        <v>44350</v>
      </c>
    </row>
    <row r="1155" spans="1:12" x14ac:dyDescent="0.35">
      <c r="A1155" t="s">
        <v>383</v>
      </c>
      <c r="B1155" t="s">
        <v>424</v>
      </c>
      <c r="C1155" t="s">
        <v>302</v>
      </c>
      <c r="D1155" t="s">
        <v>155</v>
      </c>
      <c r="E1155">
        <v>2555</v>
      </c>
      <c r="F1155">
        <v>5765.7619122191645</v>
      </c>
      <c r="G1155">
        <v>2306.3047648876636</v>
      </c>
      <c r="H1155">
        <v>44350</v>
      </c>
      <c r="L1155">
        <v>44610</v>
      </c>
    </row>
    <row r="1156" spans="1:12" x14ac:dyDescent="0.35">
      <c r="A1156" t="s">
        <v>357</v>
      </c>
      <c r="B1156" t="s">
        <v>424</v>
      </c>
      <c r="C1156" t="s">
        <v>302</v>
      </c>
      <c r="D1156" t="s">
        <v>155</v>
      </c>
      <c r="E1156">
        <v>68</v>
      </c>
      <c r="F1156">
        <v>141.66008871312721</v>
      </c>
      <c r="G1156">
        <v>70.830044356563604</v>
      </c>
      <c r="H1156">
        <v>44350</v>
      </c>
    </row>
    <row r="1157" spans="1:12" x14ac:dyDescent="0.35">
      <c r="A1157" t="s">
        <v>375</v>
      </c>
      <c r="B1157" t="s">
        <v>424</v>
      </c>
      <c r="C1157" t="s">
        <v>302</v>
      </c>
      <c r="D1157" t="s">
        <v>155</v>
      </c>
      <c r="E1157">
        <v>16875</v>
      </c>
      <c r="F1157">
        <v>4306.3778672517101</v>
      </c>
      <c r="G1157">
        <v>2153.188933625855</v>
      </c>
      <c r="H1157">
        <v>44350</v>
      </c>
      <c r="L1157">
        <v>45133</v>
      </c>
    </row>
    <row r="1158" spans="1:12" x14ac:dyDescent="0.35">
      <c r="A1158" t="s">
        <v>405</v>
      </c>
      <c r="B1158" t="s">
        <v>424</v>
      </c>
      <c r="C1158" t="s">
        <v>302</v>
      </c>
      <c r="D1158" t="s">
        <v>155</v>
      </c>
      <c r="E1158">
        <v>19576</v>
      </c>
      <c r="F1158">
        <v>2775.5489588608525</v>
      </c>
      <c r="G1158">
        <v>1387.7744794304263</v>
      </c>
      <c r="H1158">
        <v>44350</v>
      </c>
      <c r="L1158">
        <v>45265</v>
      </c>
    </row>
    <row r="1159" spans="1:12" x14ac:dyDescent="0.35">
      <c r="A1159" t="s">
        <v>386</v>
      </c>
      <c r="B1159" t="s">
        <v>424</v>
      </c>
      <c r="C1159" t="s">
        <v>302</v>
      </c>
      <c r="D1159" t="s">
        <v>155</v>
      </c>
      <c r="E1159">
        <v>793</v>
      </c>
      <c r="F1159">
        <v>764.61239491458582</v>
      </c>
      <c r="G1159">
        <v>382.30619745729291</v>
      </c>
      <c r="H1159">
        <v>44350</v>
      </c>
      <c r="L1159">
        <v>45106</v>
      </c>
    </row>
    <row r="1160" spans="1:12" x14ac:dyDescent="0.35">
      <c r="A1160" t="s">
        <v>326</v>
      </c>
      <c r="B1160" t="s">
        <v>424</v>
      </c>
      <c r="C1160" t="s">
        <v>302</v>
      </c>
      <c r="D1160" t="s">
        <v>155</v>
      </c>
      <c r="E1160">
        <v>38</v>
      </c>
      <c r="F1160">
        <v>63.51853623180056</v>
      </c>
      <c r="G1160">
        <v>31.75926811590028</v>
      </c>
      <c r="H1160">
        <v>44350</v>
      </c>
    </row>
    <row r="1161" spans="1:12" x14ac:dyDescent="0.35">
      <c r="A1161" t="s">
        <v>326</v>
      </c>
      <c r="B1161" t="s">
        <v>424</v>
      </c>
      <c r="C1161" t="s">
        <v>302</v>
      </c>
      <c r="D1161" t="s">
        <v>155</v>
      </c>
      <c r="E1161">
        <v>624</v>
      </c>
      <c r="F1161">
        <v>1654.8185363259017</v>
      </c>
      <c r="G1161">
        <v>661.92741453036103</v>
      </c>
      <c r="H1161">
        <v>44350</v>
      </c>
    </row>
    <row r="1162" spans="1:12" x14ac:dyDescent="0.35">
      <c r="A1162" t="s">
        <v>362</v>
      </c>
      <c r="B1162" t="s">
        <v>424</v>
      </c>
      <c r="C1162" t="s">
        <v>302</v>
      </c>
      <c r="D1162" t="s">
        <v>155</v>
      </c>
      <c r="E1162">
        <v>624</v>
      </c>
      <c r="F1162">
        <v>1654.8185363259017</v>
      </c>
      <c r="G1162">
        <v>661.92741453036103</v>
      </c>
      <c r="H1162">
        <v>44350</v>
      </c>
      <c r="L1162">
        <v>44461</v>
      </c>
    </row>
    <row r="1163" spans="1:12" x14ac:dyDescent="0.35">
      <c r="A1163" t="s">
        <v>416</v>
      </c>
      <c r="B1163" t="s">
        <v>424</v>
      </c>
      <c r="C1163" t="s">
        <v>302</v>
      </c>
      <c r="D1163" t="s">
        <v>155</v>
      </c>
      <c r="E1163">
        <v>525</v>
      </c>
      <c r="F1163">
        <v>790.23406063045957</v>
      </c>
      <c r="G1163">
        <v>395.11703031522978</v>
      </c>
      <c r="H1163">
        <v>44350</v>
      </c>
    </row>
    <row r="1164" spans="1:12" x14ac:dyDescent="0.35">
      <c r="A1164" t="s">
        <v>417</v>
      </c>
      <c r="B1164" t="s">
        <v>424</v>
      </c>
      <c r="C1164" t="s">
        <v>302</v>
      </c>
      <c r="D1164" t="s">
        <v>155</v>
      </c>
      <c r="E1164">
        <v>1928</v>
      </c>
      <c r="F1164">
        <v>978.10722789659997</v>
      </c>
      <c r="G1164">
        <v>489.05361394829998</v>
      </c>
      <c r="H1164">
        <v>44350</v>
      </c>
    </row>
    <row r="1165" spans="1:12" x14ac:dyDescent="0.35">
      <c r="A1165" t="s">
        <v>387</v>
      </c>
      <c r="B1165" t="s">
        <v>424</v>
      </c>
      <c r="C1165" t="s">
        <v>302</v>
      </c>
      <c r="D1165" t="s">
        <v>155</v>
      </c>
      <c r="E1165">
        <v>275</v>
      </c>
      <c r="F1165">
        <v>705.68656980239507</v>
      </c>
      <c r="G1165">
        <v>423.41194188143686</v>
      </c>
      <c r="H1165">
        <v>44350</v>
      </c>
      <c r="L1165">
        <v>44580</v>
      </c>
    </row>
    <row r="1166" spans="1:12" x14ac:dyDescent="0.35">
      <c r="A1166" t="s">
        <v>329</v>
      </c>
      <c r="B1166" t="s">
        <v>424</v>
      </c>
      <c r="C1166" t="s">
        <v>302</v>
      </c>
      <c r="D1166" t="s">
        <v>155</v>
      </c>
      <c r="E1166">
        <v>352</v>
      </c>
      <c r="F1166">
        <v>573.38659694968135</v>
      </c>
      <c r="G1166">
        <v>286.69329847484067</v>
      </c>
      <c r="H1166">
        <v>44350</v>
      </c>
      <c r="L1166">
        <v>44522</v>
      </c>
    </row>
    <row r="1167" spans="1:12" x14ac:dyDescent="0.35">
      <c r="A1167" t="s">
        <v>210</v>
      </c>
      <c r="B1167" t="s">
        <v>424</v>
      </c>
      <c r="C1167" t="s">
        <v>302</v>
      </c>
      <c r="D1167" t="s">
        <v>155</v>
      </c>
      <c r="E1167">
        <v>14</v>
      </c>
      <c r="F1167">
        <v>20.926713302602039</v>
      </c>
      <c r="G1167">
        <v>6.278013990780611</v>
      </c>
      <c r="H1167">
        <v>44350</v>
      </c>
    </row>
    <row r="1168" spans="1:12" x14ac:dyDescent="0.35">
      <c r="A1168" t="s">
        <v>401</v>
      </c>
      <c r="B1168" t="s">
        <v>424</v>
      </c>
      <c r="C1168" t="s">
        <v>302</v>
      </c>
      <c r="D1168" t="s">
        <v>155</v>
      </c>
      <c r="E1168">
        <v>16035</v>
      </c>
      <c r="F1168">
        <v>6348.6708519936619</v>
      </c>
      <c r="G1168">
        <v>3174.335425996831</v>
      </c>
      <c r="H1168">
        <v>44350</v>
      </c>
    </row>
    <row r="1169" spans="1:12" x14ac:dyDescent="0.35">
      <c r="A1169" t="s">
        <v>418</v>
      </c>
      <c r="B1169" t="s">
        <v>424</v>
      </c>
      <c r="C1169" t="s">
        <v>302</v>
      </c>
      <c r="D1169" t="s">
        <v>155</v>
      </c>
      <c r="E1169">
        <v>1</v>
      </c>
      <c r="F1169">
        <v>2.983262322983018</v>
      </c>
      <c r="G1169">
        <v>1.491631161491509</v>
      </c>
      <c r="H1169">
        <v>44350</v>
      </c>
    </row>
    <row r="1170" spans="1:12" x14ac:dyDescent="0.35">
      <c r="A1170" t="s">
        <v>425</v>
      </c>
      <c r="B1170" t="s">
        <v>424</v>
      </c>
      <c r="C1170" t="s">
        <v>302</v>
      </c>
      <c r="D1170" t="s">
        <v>155</v>
      </c>
      <c r="E1170">
        <v>64</v>
      </c>
      <c r="F1170">
        <v>109.0402355042352</v>
      </c>
      <c r="G1170">
        <v>54.520117752117599</v>
      </c>
      <c r="H1170">
        <v>44350</v>
      </c>
    </row>
    <row r="1171" spans="1:12" x14ac:dyDescent="0.35">
      <c r="A1171" t="s">
        <v>366</v>
      </c>
      <c r="B1171" t="s">
        <v>424</v>
      </c>
      <c r="C1171" t="s">
        <v>302</v>
      </c>
      <c r="D1171" t="s">
        <v>155</v>
      </c>
      <c r="E1171">
        <v>73</v>
      </c>
      <c r="F1171">
        <v>122.55639169863083</v>
      </c>
      <c r="G1171">
        <v>61.278195849315416</v>
      </c>
      <c r="H1171">
        <v>44350</v>
      </c>
      <c r="L1171">
        <v>45442</v>
      </c>
    </row>
    <row r="1172" spans="1:12" x14ac:dyDescent="0.35">
      <c r="A1172" t="s">
        <v>332</v>
      </c>
      <c r="B1172" t="s">
        <v>424</v>
      </c>
      <c r="C1172" t="s">
        <v>302</v>
      </c>
      <c r="D1172" t="s">
        <v>155</v>
      </c>
      <c r="E1172">
        <v>13</v>
      </c>
      <c r="F1172">
        <v>41.763439640806496</v>
      </c>
      <c r="G1172">
        <v>16.705375856322597</v>
      </c>
      <c r="H1172">
        <v>44350</v>
      </c>
    </row>
    <row r="1173" spans="1:12" x14ac:dyDescent="0.35">
      <c r="A1173" t="s">
        <v>314</v>
      </c>
      <c r="B1173" t="s">
        <v>424</v>
      </c>
      <c r="C1173" t="s">
        <v>302</v>
      </c>
      <c r="D1173" t="s">
        <v>155</v>
      </c>
      <c r="E1173">
        <v>221</v>
      </c>
      <c r="F1173">
        <v>692.30241679616302</v>
      </c>
      <c r="G1173">
        <v>207.69072503884888</v>
      </c>
      <c r="H1173">
        <v>44350</v>
      </c>
      <c r="J1173">
        <v>44442</v>
      </c>
      <c r="K1173" t="s">
        <v>426</v>
      </c>
      <c r="L1173">
        <v>44691</v>
      </c>
    </row>
    <row r="1174" spans="1:12" x14ac:dyDescent="0.35">
      <c r="A1174" t="s">
        <v>30</v>
      </c>
      <c r="B1174" t="s">
        <v>424</v>
      </c>
      <c r="C1174" t="s">
        <v>302</v>
      </c>
      <c r="D1174" t="s">
        <v>155</v>
      </c>
      <c r="E1174">
        <v>42867</v>
      </c>
      <c r="F1174">
        <v>13403.117664685728</v>
      </c>
      <c r="G1174">
        <v>6701.5588323428638</v>
      </c>
      <c r="H1174">
        <v>44350</v>
      </c>
    </row>
    <row r="1175" spans="1:12" x14ac:dyDescent="0.35">
      <c r="A1175" t="s">
        <v>347</v>
      </c>
      <c r="B1175" t="s">
        <v>424</v>
      </c>
      <c r="C1175" t="s">
        <v>302</v>
      </c>
      <c r="D1175" t="s">
        <v>155</v>
      </c>
      <c r="E1175">
        <v>84</v>
      </c>
      <c r="F1175">
        <v>130.50542912422387</v>
      </c>
      <c r="G1175">
        <v>39.15162873726716</v>
      </c>
      <c r="H1175">
        <v>44350</v>
      </c>
    </row>
    <row r="1176" spans="1:12" x14ac:dyDescent="0.35">
      <c r="A1176" t="s">
        <v>420</v>
      </c>
      <c r="B1176" t="s">
        <v>424</v>
      </c>
      <c r="C1176" t="s">
        <v>302</v>
      </c>
      <c r="D1176" t="s">
        <v>155</v>
      </c>
      <c r="E1176">
        <v>7</v>
      </c>
      <c r="F1176">
        <v>3.7520730399919033</v>
      </c>
      <c r="G1176">
        <v>1.8760365199959517</v>
      </c>
      <c r="H1176">
        <v>44350</v>
      </c>
    </row>
    <row r="1177" spans="1:12" x14ac:dyDescent="0.35">
      <c r="A1177" t="s">
        <v>388</v>
      </c>
      <c r="B1177" t="s">
        <v>424</v>
      </c>
      <c r="C1177" t="s">
        <v>302</v>
      </c>
      <c r="D1177" t="s">
        <v>155</v>
      </c>
      <c r="E1177">
        <v>6269</v>
      </c>
      <c r="F1177">
        <v>13621.712502796165</v>
      </c>
      <c r="G1177">
        <v>6810.8562513980823</v>
      </c>
      <c r="H1177">
        <v>44350</v>
      </c>
      <c r="J1177">
        <v>44442</v>
      </c>
      <c r="K1177" t="s">
        <v>427</v>
      </c>
      <c r="L1177">
        <v>44497</v>
      </c>
    </row>
    <row r="1178" spans="1:12" x14ac:dyDescent="0.35">
      <c r="A1178" t="s">
        <v>359</v>
      </c>
      <c r="B1178" t="s">
        <v>424</v>
      </c>
      <c r="C1178" t="s">
        <v>302</v>
      </c>
      <c r="D1178" t="s">
        <v>155</v>
      </c>
      <c r="E1178">
        <v>63</v>
      </c>
      <c r="F1178">
        <v>8.2344564298096099</v>
      </c>
      <c r="G1178">
        <v>4.117228214904805</v>
      </c>
      <c r="H1178">
        <v>44350</v>
      </c>
    </row>
    <row r="1179" spans="1:12" x14ac:dyDescent="0.35">
      <c r="A1179" t="s">
        <v>213</v>
      </c>
      <c r="B1179" t="s">
        <v>424</v>
      </c>
      <c r="C1179" t="s">
        <v>302</v>
      </c>
      <c r="D1179" t="s">
        <v>155</v>
      </c>
      <c r="E1179">
        <v>26</v>
      </c>
      <c r="F1179">
        <v>44.785959971131334</v>
      </c>
      <c r="G1179">
        <v>13.435787991339399</v>
      </c>
      <c r="H1179">
        <v>44350</v>
      </c>
    </row>
    <row r="1180" spans="1:12" x14ac:dyDescent="0.35">
      <c r="A1180" t="s">
        <v>190</v>
      </c>
      <c r="B1180" t="s">
        <v>424</v>
      </c>
      <c r="C1180" t="s">
        <v>302</v>
      </c>
      <c r="D1180" t="s">
        <v>155</v>
      </c>
      <c r="E1180">
        <v>30220</v>
      </c>
      <c r="F1180">
        <v>9024.9408216454758</v>
      </c>
      <c r="G1180">
        <v>4512.4704108227379</v>
      </c>
      <c r="H1180">
        <v>44350</v>
      </c>
      <c r="L1180">
        <v>44602</v>
      </c>
    </row>
    <row r="1181" spans="1:12" x14ac:dyDescent="0.35">
      <c r="A1181" t="s">
        <v>162</v>
      </c>
      <c r="B1181" t="s">
        <v>424</v>
      </c>
      <c r="C1181" t="s">
        <v>302</v>
      </c>
      <c r="D1181" t="s">
        <v>155</v>
      </c>
      <c r="E1181">
        <v>2231</v>
      </c>
      <c r="F1181">
        <v>3910.968167187385</v>
      </c>
      <c r="G1181">
        <v>2346.58090031243</v>
      </c>
      <c r="H1181">
        <v>44350</v>
      </c>
      <c r="J1181">
        <v>44442</v>
      </c>
      <c r="K1181" t="s">
        <v>426</v>
      </c>
      <c r="L1181">
        <v>44496</v>
      </c>
    </row>
    <row r="1182" spans="1:12" x14ac:dyDescent="0.35">
      <c r="A1182" t="s">
        <v>422</v>
      </c>
      <c r="B1182" t="s">
        <v>424</v>
      </c>
      <c r="C1182" t="s">
        <v>302</v>
      </c>
      <c r="D1182" t="s">
        <v>155</v>
      </c>
      <c r="E1182">
        <v>278</v>
      </c>
      <c r="F1182">
        <v>392.64620806129619</v>
      </c>
      <c r="G1182">
        <v>235.59</v>
      </c>
      <c r="H1182">
        <v>44350</v>
      </c>
    </row>
    <row r="1183" spans="1:12" x14ac:dyDescent="0.35">
      <c r="A1183" t="s">
        <v>390</v>
      </c>
      <c r="B1183" t="s">
        <v>424</v>
      </c>
      <c r="C1183" t="s">
        <v>302</v>
      </c>
      <c r="D1183" t="s">
        <v>155</v>
      </c>
      <c r="E1183">
        <v>3957</v>
      </c>
      <c r="F1183">
        <v>2345.9984572735334</v>
      </c>
      <c r="G1183">
        <v>1172.9992286367667</v>
      </c>
      <c r="H1183">
        <v>44350</v>
      </c>
      <c r="J1183">
        <v>44442</v>
      </c>
      <c r="K1183" t="s">
        <v>426</v>
      </c>
      <c r="L1183">
        <v>44522</v>
      </c>
    </row>
    <row r="1184" spans="1:12" x14ac:dyDescent="0.35">
      <c r="A1184" t="s">
        <v>283</v>
      </c>
      <c r="B1184" t="s">
        <v>424</v>
      </c>
      <c r="C1184" t="s">
        <v>302</v>
      </c>
      <c r="D1184" t="s">
        <v>155</v>
      </c>
      <c r="E1184">
        <v>12801</v>
      </c>
      <c r="F1184">
        <v>6206.9889488316412</v>
      </c>
      <c r="G1184">
        <v>3103.4944744158206</v>
      </c>
      <c r="H1184">
        <v>44350</v>
      </c>
      <c r="L1184">
        <v>44482</v>
      </c>
    </row>
    <row r="1185" spans="1:12" x14ac:dyDescent="0.35">
      <c r="A1185" t="s">
        <v>306</v>
      </c>
      <c r="B1185" t="s">
        <v>424</v>
      </c>
      <c r="C1185" t="s">
        <v>302</v>
      </c>
      <c r="D1185" t="s">
        <v>155</v>
      </c>
      <c r="E1185">
        <v>47171</v>
      </c>
      <c r="F1185">
        <v>9350.872599588989</v>
      </c>
      <c r="G1185">
        <f>F1185/2</f>
        <v>4675.4362997944945</v>
      </c>
      <c r="H1185">
        <v>44350</v>
      </c>
      <c r="L1185">
        <v>44482</v>
      </c>
    </row>
    <row r="1186" spans="1:12" x14ac:dyDescent="0.35">
      <c r="A1186" t="s">
        <v>193</v>
      </c>
      <c r="B1186" t="s">
        <v>424</v>
      </c>
      <c r="C1186" t="s">
        <v>302</v>
      </c>
      <c r="D1186" t="s">
        <v>155</v>
      </c>
      <c r="E1186">
        <v>43</v>
      </c>
      <c r="F1186">
        <v>28.674715568848605</v>
      </c>
      <c r="G1186">
        <v>14.337357784424302</v>
      </c>
      <c r="H1186">
        <v>44350</v>
      </c>
      <c r="I1186">
        <v>44350</v>
      </c>
    </row>
    <row r="1187" spans="1:12" x14ac:dyDescent="0.35">
      <c r="A1187" t="s">
        <v>186</v>
      </c>
      <c r="B1187" t="s">
        <v>424</v>
      </c>
      <c r="C1187" t="s">
        <v>302</v>
      </c>
      <c r="D1187" t="s">
        <v>155</v>
      </c>
      <c r="E1187">
        <v>37</v>
      </c>
      <c r="F1187">
        <v>4.7409994215547924</v>
      </c>
      <c r="G1187">
        <v>2.3704997107773962</v>
      </c>
      <c r="H1187">
        <v>44350</v>
      </c>
    </row>
    <row r="1188" spans="1:12" x14ac:dyDescent="0.35">
      <c r="A1188" t="s">
        <v>268</v>
      </c>
      <c r="B1188" t="s">
        <v>424</v>
      </c>
      <c r="C1188" t="s">
        <v>302</v>
      </c>
      <c r="D1188" t="s">
        <v>155</v>
      </c>
      <c r="E1188">
        <v>121</v>
      </c>
      <c r="F1188">
        <v>128.66640119657964</v>
      </c>
      <c r="G1188">
        <v>51.466560478631855</v>
      </c>
      <c r="H1188">
        <v>44350</v>
      </c>
    </row>
    <row r="1189" spans="1:12" x14ac:dyDescent="0.35">
      <c r="A1189" t="s">
        <v>400</v>
      </c>
      <c r="B1189" t="s">
        <v>424</v>
      </c>
      <c r="C1189" t="s">
        <v>302</v>
      </c>
      <c r="D1189" t="s">
        <v>155</v>
      </c>
      <c r="E1189">
        <v>219868</v>
      </c>
      <c r="F1189">
        <v>38749.088968223776</v>
      </c>
      <c r="G1189">
        <v>25186.90782934547</v>
      </c>
      <c r="H1189">
        <v>44350</v>
      </c>
      <c r="J1189">
        <v>44442</v>
      </c>
      <c r="L1189">
        <v>44476</v>
      </c>
    </row>
    <row r="1190" spans="1:12" x14ac:dyDescent="0.35">
      <c r="A1190" t="s">
        <v>428</v>
      </c>
      <c r="B1190" t="s">
        <v>429</v>
      </c>
      <c r="C1190" t="s">
        <v>302</v>
      </c>
      <c r="D1190" t="s">
        <v>155</v>
      </c>
      <c r="E1190">
        <v>1806</v>
      </c>
      <c r="F1190">
        <v>2231.0437590866522</v>
      </c>
      <c r="G1190">
        <v>1115.5218795433261</v>
      </c>
      <c r="H1190">
        <v>44356</v>
      </c>
    </row>
    <row r="1191" spans="1:12" x14ac:dyDescent="0.35">
      <c r="A1191" t="s">
        <v>430</v>
      </c>
      <c r="B1191" t="s">
        <v>431</v>
      </c>
      <c r="C1191" t="s">
        <v>302</v>
      </c>
      <c r="D1191" t="s">
        <v>155</v>
      </c>
      <c r="E1191">
        <v>36563</v>
      </c>
      <c r="F1191">
        <v>44281.874768077061</v>
      </c>
      <c r="G1191">
        <v>17712.749907230831</v>
      </c>
      <c r="H1191">
        <v>44691</v>
      </c>
      <c r="L1191">
        <v>45159</v>
      </c>
    </row>
    <row r="1192" spans="1:12" x14ac:dyDescent="0.35">
      <c r="A1192" t="s">
        <v>219</v>
      </c>
      <c r="B1192" t="s">
        <v>432</v>
      </c>
      <c r="C1192" t="s">
        <v>302</v>
      </c>
      <c r="D1192" t="s">
        <v>155</v>
      </c>
      <c r="E1192">
        <v>39</v>
      </c>
      <c r="F1192">
        <v>3.0561780436768915</v>
      </c>
      <c r="G1192">
        <v>1.5280890218384457</v>
      </c>
      <c r="H1192">
        <v>44011</v>
      </c>
    </row>
    <row r="1193" spans="1:12" x14ac:dyDescent="0.35">
      <c r="A1193" t="s">
        <v>360</v>
      </c>
      <c r="B1193" t="s">
        <v>432</v>
      </c>
      <c r="C1193" t="s">
        <v>246</v>
      </c>
      <c r="D1193" t="s">
        <v>155</v>
      </c>
      <c r="E1193">
        <v>101</v>
      </c>
      <c r="F1193">
        <v>8.0466459884151114</v>
      </c>
      <c r="G1193">
        <v>4.0233229942075557</v>
      </c>
      <c r="H1193">
        <v>44011</v>
      </c>
    </row>
    <row r="1194" spans="1:12" x14ac:dyDescent="0.35">
      <c r="A1194" t="s">
        <v>287</v>
      </c>
      <c r="B1194" t="s">
        <v>432</v>
      </c>
      <c r="C1194" t="s">
        <v>246</v>
      </c>
      <c r="D1194" t="s">
        <v>155</v>
      </c>
      <c r="E1194">
        <v>248</v>
      </c>
      <c r="F1194">
        <v>19.884500182910376</v>
      </c>
      <c r="G1194">
        <v>9.9422500914551879</v>
      </c>
      <c r="H1194">
        <v>44011</v>
      </c>
    </row>
    <row r="1195" spans="1:12" x14ac:dyDescent="0.35">
      <c r="A1195" t="s">
        <v>433</v>
      </c>
      <c r="B1195" t="s">
        <v>432</v>
      </c>
      <c r="C1195" t="s">
        <v>246</v>
      </c>
      <c r="D1195" t="s">
        <v>155</v>
      </c>
      <c r="E1195">
        <v>28</v>
      </c>
      <c r="F1195">
        <v>2.2437762852311325</v>
      </c>
      <c r="G1195">
        <v>1.1218881426155662</v>
      </c>
      <c r="H1195">
        <v>44011</v>
      </c>
    </row>
    <row r="1196" spans="1:12" x14ac:dyDescent="0.35">
      <c r="A1196" t="s">
        <v>193</v>
      </c>
      <c r="B1196" t="s">
        <v>432</v>
      </c>
      <c r="C1196" t="s">
        <v>434</v>
      </c>
      <c r="D1196" t="s">
        <v>155</v>
      </c>
      <c r="E1196">
        <v>210</v>
      </c>
      <c r="F1196">
        <v>16.867007937254737</v>
      </c>
      <c r="G1196">
        <v>8.4335039686273685</v>
      </c>
      <c r="H1196">
        <v>44011</v>
      </c>
    </row>
    <row r="1197" spans="1:12" x14ac:dyDescent="0.35">
      <c r="A1197" t="s">
        <v>266</v>
      </c>
      <c r="B1197" t="s">
        <v>432</v>
      </c>
      <c r="C1197" t="s">
        <v>246</v>
      </c>
      <c r="D1197" t="s">
        <v>155</v>
      </c>
      <c r="E1197">
        <v>20</v>
      </c>
      <c r="F1197">
        <v>1.5474319208490581</v>
      </c>
      <c r="G1197">
        <v>0.61897276833962334</v>
      </c>
      <c r="H1197">
        <v>44011</v>
      </c>
    </row>
    <row r="1198" spans="1:12" x14ac:dyDescent="0.35">
      <c r="A1198" t="s">
        <v>379</v>
      </c>
      <c r="B1198" t="s">
        <v>432</v>
      </c>
      <c r="C1198" t="s">
        <v>302</v>
      </c>
      <c r="D1198" t="s">
        <v>155</v>
      </c>
      <c r="E1198">
        <v>132</v>
      </c>
      <c r="F1198">
        <v>135.6005796051264</v>
      </c>
      <c r="G1198">
        <v>67.800289802563199</v>
      </c>
      <c r="H1198">
        <v>44371</v>
      </c>
    </row>
    <row r="1199" spans="1:12" x14ac:dyDescent="0.35">
      <c r="A1199" t="s">
        <v>435</v>
      </c>
      <c r="B1199" t="s">
        <v>432</v>
      </c>
      <c r="C1199" t="s">
        <v>302</v>
      </c>
      <c r="D1199" t="s">
        <v>155</v>
      </c>
      <c r="E1199">
        <v>623</v>
      </c>
      <c r="F1199">
        <v>314.99124703617451</v>
      </c>
      <c r="G1199">
        <v>157.49562351808726</v>
      </c>
      <c r="H1199">
        <v>44371</v>
      </c>
    </row>
    <row r="1200" spans="1:12" x14ac:dyDescent="0.35">
      <c r="A1200" t="s">
        <v>381</v>
      </c>
      <c r="B1200" t="s">
        <v>432</v>
      </c>
      <c r="C1200" t="s">
        <v>302</v>
      </c>
      <c r="D1200" t="s">
        <v>155</v>
      </c>
      <c r="E1200">
        <v>1</v>
      </c>
      <c r="F1200">
        <v>9.8568310541839205E-2</v>
      </c>
      <c r="G1200">
        <v>3.9427324216735685E-2</v>
      </c>
      <c r="H1200">
        <v>44371</v>
      </c>
    </row>
    <row r="1201" spans="1:12" x14ac:dyDescent="0.35">
      <c r="A1201" t="s">
        <v>428</v>
      </c>
      <c r="B1201" t="s">
        <v>432</v>
      </c>
      <c r="C1201" t="s">
        <v>302</v>
      </c>
      <c r="D1201" t="s">
        <v>155</v>
      </c>
      <c r="E1201">
        <v>1036</v>
      </c>
      <c r="F1201">
        <v>645.26139660999002</v>
      </c>
      <c r="G1201">
        <v>322.63069830499501</v>
      </c>
      <c r="H1201">
        <v>44582</v>
      </c>
    </row>
    <row r="1202" spans="1:12" x14ac:dyDescent="0.35">
      <c r="A1202" t="s">
        <v>383</v>
      </c>
      <c r="B1202" t="s">
        <v>432</v>
      </c>
      <c r="C1202" t="s">
        <v>302</v>
      </c>
      <c r="D1202" t="s">
        <v>155</v>
      </c>
      <c r="E1202">
        <v>4177</v>
      </c>
      <c r="F1202">
        <v>7078.6412950017202</v>
      </c>
      <c r="G1202">
        <v>2831.4565180006898</v>
      </c>
      <c r="H1202">
        <v>44371</v>
      </c>
      <c r="L1202">
        <v>44610</v>
      </c>
    </row>
    <row r="1203" spans="1:12" x14ac:dyDescent="0.35">
      <c r="A1203" t="s">
        <v>357</v>
      </c>
      <c r="B1203" t="s">
        <v>432</v>
      </c>
      <c r="C1203" t="s">
        <v>302</v>
      </c>
      <c r="D1203" t="s">
        <v>155</v>
      </c>
      <c r="E1203">
        <v>83</v>
      </c>
      <c r="F1203">
        <v>120.55836686802382</v>
      </c>
      <c r="G1203">
        <v>60.279183434011912</v>
      </c>
      <c r="H1203">
        <v>44371</v>
      </c>
    </row>
    <row r="1204" spans="1:12" x14ac:dyDescent="0.35">
      <c r="A1204" t="s">
        <v>375</v>
      </c>
      <c r="B1204" t="s">
        <v>432</v>
      </c>
      <c r="C1204" t="s">
        <v>302</v>
      </c>
      <c r="D1204" t="s">
        <v>155</v>
      </c>
      <c r="E1204">
        <v>17655</v>
      </c>
      <c r="F1204">
        <v>3894.7318268505041</v>
      </c>
      <c r="G1204">
        <v>1947.3659134252521</v>
      </c>
      <c r="H1204">
        <v>44371</v>
      </c>
      <c r="L1204">
        <v>45133</v>
      </c>
    </row>
    <row r="1205" spans="1:12" x14ac:dyDescent="0.35">
      <c r="A1205" t="s">
        <v>405</v>
      </c>
      <c r="B1205" t="s">
        <v>432</v>
      </c>
      <c r="C1205" t="s">
        <v>302</v>
      </c>
      <c r="D1205" t="s">
        <v>155</v>
      </c>
      <c r="E1205">
        <v>23082</v>
      </c>
      <c r="F1205">
        <v>2561.9753607916778</v>
      </c>
      <c r="G1205">
        <v>1280.9876803958389</v>
      </c>
      <c r="H1205">
        <v>44371</v>
      </c>
      <c r="L1205">
        <v>45265</v>
      </c>
    </row>
    <row r="1206" spans="1:12" x14ac:dyDescent="0.35">
      <c r="A1206" t="s">
        <v>386</v>
      </c>
      <c r="B1206" t="s">
        <v>432</v>
      </c>
      <c r="C1206" t="s">
        <v>302</v>
      </c>
      <c r="D1206" t="s">
        <v>155</v>
      </c>
      <c r="E1206">
        <v>1031</v>
      </c>
      <c r="F1206">
        <v>336.86183374670867</v>
      </c>
      <c r="G1206">
        <v>168.43091687335433</v>
      </c>
      <c r="H1206">
        <v>44371</v>
      </c>
      <c r="L1206">
        <v>45106</v>
      </c>
    </row>
    <row r="1207" spans="1:12" x14ac:dyDescent="0.35">
      <c r="A1207" t="s">
        <v>326</v>
      </c>
      <c r="B1207" t="s">
        <v>432</v>
      </c>
      <c r="C1207" t="s">
        <v>302</v>
      </c>
      <c r="D1207" t="s">
        <v>155</v>
      </c>
      <c r="E1207">
        <v>99</v>
      </c>
      <c r="F1207">
        <v>121.99507485504004</v>
      </c>
      <c r="G1207">
        <v>60.997537427520022</v>
      </c>
      <c r="H1207">
        <v>44371</v>
      </c>
    </row>
    <row r="1208" spans="1:12" x14ac:dyDescent="0.35">
      <c r="A1208" t="s">
        <v>362</v>
      </c>
      <c r="B1208" t="s">
        <v>432</v>
      </c>
      <c r="C1208" t="s">
        <v>302</v>
      </c>
      <c r="D1208" t="s">
        <v>155</v>
      </c>
      <c r="E1208">
        <v>316</v>
      </c>
      <c r="F1208">
        <v>579.7964299876877</v>
      </c>
      <c r="G1208">
        <v>231.91857199507507</v>
      </c>
      <c r="H1208">
        <v>44371</v>
      </c>
      <c r="L1208">
        <v>44461</v>
      </c>
    </row>
    <row r="1209" spans="1:12" x14ac:dyDescent="0.35">
      <c r="A1209" t="s">
        <v>416</v>
      </c>
      <c r="B1209" t="s">
        <v>432</v>
      </c>
      <c r="C1209" t="s">
        <v>302</v>
      </c>
      <c r="D1209" t="s">
        <v>155</v>
      </c>
      <c r="E1209">
        <v>313</v>
      </c>
      <c r="F1209">
        <v>332.57061103414509</v>
      </c>
      <c r="G1209">
        <v>166.28530551707254</v>
      </c>
      <c r="H1209">
        <v>44371</v>
      </c>
    </row>
    <row r="1210" spans="1:12" x14ac:dyDescent="0.35">
      <c r="A1210" t="s">
        <v>417</v>
      </c>
      <c r="B1210" t="s">
        <v>432</v>
      </c>
      <c r="C1210" t="s">
        <v>302</v>
      </c>
      <c r="D1210" t="s">
        <v>155</v>
      </c>
      <c r="E1210">
        <v>42450</v>
      </c>
      <c r="F1210">
        <v>5326.5281368851111</v>
      </c>
      <c r="G1210">
        <v>2663.2640684425555</v>
      </c>
      <c r="H1210">
        <v>44371</v>
      </c>
    </row>
    <row r="1211" spans="1:12" x14ac:dyDescent="0.35">
      <c r="A1211" t="s">
        <v>387</v>
      </c>
      <c r="B1211" t="s">
        <v>432</v>
      </c>
      <c r="C1211" t="s">
        <v>302</v>
      </c>
      <c r="D1211" t="s">
        <v>155</v>
      </c>
      <c r="E1211">
        <v>529</v>
      </c>
      <c r="F1211">
        <v>951.2605411500283</v>
      </c>
      <c r="G1211">
        <v>570.75632469001698</v>
      </c>
      <c r="H1211">
        <v>44371</v>
      </c>
      <c r="L1211">
        <v>44580</v>
      </c>
    </row>
    <row r="1212" spans="1:12" x14ac:dyDescent="0.35">
      <c r="A1212" t="s">
        <v>329</v>
      </c>
      <c r="B1212" t="s">
        <v>432</v>
      </c>
      <c r="C1212" t="s">
        <v>302</v>
      </c>
      <c r="D1212" t="s">
        <v>155</v>
      </c>
      <c r="E1212">
        <v>380</v>
      </c>
      <c r="F1212">
        <v>493.34959750402584</v>
      </c>
      <c r="G1212">
        <v>246.67479875201292</v>
      </c>
      <c r="H1212">
        <v>44371</v>
      </c>
      <c r="L1212">
        <v>44522</v>
      </c>
    </row>
    <row r="1213" spans="1:12" x14ac:dyDescent="0.35">
      <c r="A1213" t="s">
        <v>210</v>
      </c>
      <c r="B1213" t="s">
        <v>432</v>
      </c>
      <c r="C1213" t="s">
        <v>302</v>
      </c>
      <c r="D1213" t="s">
        <v>155</v>
      </c>
      <c r="E1213">
        <v>21</v>
      </c>
      <c r="F1213">
        <v>22.095849875241175</v>
      </c>
      <c r="G1213">
        <v>6.6287549625723514</v>
      </c>
      <c r="H1213">
        <v>44371</v>
      </c>
    </row>
    <row r="1214" spans="1:12" x14ac:dyDescent="0.35">
      <c r="A1214" t="s">
        <v>401</v>
      </c>
      <c r="B1214" t="s">
        <v>432</v>
      </c>
      <c r="C1214" t="s">
        <v>302</v>
      </c>
      <c r="D1214" t="s">
        <v>155</v>
      </c>
      <c r="E1214">
        <v>29121</v>
      </c>
      <c r="F1214">
        <v>8524.0084197291017</v>
      </c>
      <c r="G1214">
        <v>4262.0042098645508</v>
      </c>
      <c r="H1214">
        <v>44371</v>
      </c>
    </row>
    <row r="1215" spans="1:12" x14ac:dyDescent="0.35">
      <c r="A1215" t="s">
        <v>418</v>
      </c>
      <c r="B1215" t="s">
        <v>432</v>
      </c>
      <c r="C1215" t="s">
        <v>302</v>
      </c>
      <c r="D1215" t="s">
        <v>155</v>
      </c>
      <c r="E1215">
        <v>29</v>
      </c>
      <c r="F1215">
        <v>35.835667093110885</v>
      </c>
      <c r="G1215">
        <v>17.917833546555443</v>
      </c>
      <c r="H1215">
        <v>44371</v>
      </c>
    </row>
    <row r="1216" spans="1:12" x14ac:dyDescent="0.35">
      <c r="A1216" t="s">
        <v>425</v>
      </c>
      <c r="B1216" t="s">
        <v>432</v>
      </c>
      <c r="C1216" t="s">
        <v>302</v>
      </c>
      <c r="D1216" t="s">
        <v>155</v>
      </c>
      <c r="E1216">
        <v>198</v>
      </c>
      <c r="F1216">
        <v>226.3346327881292</v>
      </c>
      <c r="G1216">
        <v>113.1673163940646</v>
      </c>
      <c r="H1216">
        <v>44371</v>
      </c>
    </row>
    <row r="1217" spans="1:12" x14ac:dyDescent="0.35">
      <c r="A1217" t="s">
        <v>366</v>
      </c>
      <c r="B1217" t="s">
        <v>432</v>
      </c>
      <c r="C1217" t="s">
        <v>302</v>
      </c>
      <c r="D1217" t="s">
        <v>155</v>
      </c>
      <c r="E1217">
        <v>81</v>
      </c>
      <c r="F1217">
        <v>80.761271415731841</v>
      </c>
      <c r="G1217">
        <v>40.38063570786592</v>
      </c>
      <c r="H1217">
        <v>44371</v>
      </c>
      <c r="L1217">
        <v>45442</v>
      </c>
    </row>
    <row r="1218" spans="1:12" x14ac:dyDescent="0.35">
      <c r="A1218" t="s">
        <v>332</v>
      </c>
      <c r="B1218" t="s">
        <v>432</v>
      </c>
      <c r="C1218" t="s">
        <v>302</v>
      </c>
      <c r="D1218" t="s">
        <v>155</v>
      </c>
      <c r="E1218">
        <v>90</v>
      </c>
      <c r="F1218">
        <v>183.22383275588325</v>
      </c>
      <c r="G1218">
        <v>73.289533102353303</v>
      </c>
      <c r="H1218">
        <v>44371</v>
      </c>
    </row>
    <row r="1219" spans="1:12" x14ac:dyDescent="0.35">
      <c r="A1219" t="s">
        <v>314</v>
      </c>
      <c r="B1219" t="s">
        <v>432</v>
      </c>
      <c r="C1219" t="s">
        <v>302</v>
      </c>
      <c r="D1219" t="s">
        <v>155</v>
      </c>
      <c r="E1219">
        <v>277</v>
      </c>
      <c r="F1219">
        <v>719.01930590084271</v>
      </c>
      <c r="G1219">
        <v>215.70579177025283</v>
      </c>
      <c r="H1219">
        <v>44371</v>
      </c>
      <c r="J1219">
        <v>44442</v>
      </c>
      <c r="K1219" t="s">
        <v>426</v>
      </c>
      <c r="L1219">
        <v>44691</v>
      </c>
    </row>
    <row r="1220" spans="1:12" x14ac:dyDescent="0.35">
      <c r="A1220" t="s">
        <v>30</v>
      </c>
      <c r="B1220" t="s">
        <v>432</v>
      </c>
      <c r="C1220" t="s">
        <v>302</v>
      </c>
      <c r="D1220" t="s">
        <v>155</v>
      </c>
      <c r="E1220">
        <v>56922</v>
      </c>
      <c r="F1220">
        <v>13549.637607675402</v>
      </c>
      <c r="G1220">
        <v>6774.8188038377011</v>
      </c>
      <c r="H1220">
        <v>44371</v>
      </c>
    </row>
    <row r="1221" spans="1:12" x14ac:dyDescent="0.35">
      <c r="A1221" t="s">
        <v>347</v>
      </c>
      <c r="B1221" t="s">
        <v>432</v>
      </c>
      <c r="C1221" t="s">
        <v>302</v>
      </c>
      <c r="D1221" t="s">
        <v>155</v>
      </c>
      <c r="E1221">
        <v>6</v>
      </c>
      <c r="F1221">
        <v>4.341950232433458</v>
      </c>
      <c r="G1221">
        <v>1.3025850697300376</v>
      </c>
      <c r="H1221">
        <v>44371</v>
      </c>
    </row>
    <row r="1222" spans="1:12" x14ac:dyDescent="0.35">
      <c r="A1222" t="s">
        <v>420</v>
      </c>
      <c r="B1222" t="s">
        <v>432</v>
      </c>
      <c r="C1222" t="s">
        <v>302</v>
      </c>
      <c r="D1222" t="s">
        <v>155</v>
      </c>
      <c r="E1222">
        <v>15</v>
      </c>
      <c r="F1222">
        <v>1.7154274013955881</v>
      </c>
      <c r="G1222">
        <v>0.85771370069779407</v>
      </c>
      <c r="H1222">
        <v>44371</v>
      </c>
    </row>
    <row r="1223" spans="1:12" x14ac:dyDescent="0.35">
      <c r="A1223" t="s">
        <v>388</v>
      </c>
      <c r="B1223" t="s">
        <v>432</v>
      </c>
      <c r="C1223" t="s">
        <v>302</v>
      </c>
      <c r="D1223" t="s">
        <v>155</v>
      </c>
      <c r="E1223">
        <v>12533</v>
      </c>
      <c r="F1223">
        <v>19680.27253837587</v>
      </c>
      <c r="G1223">
        <v>9840.1362691879349</v>
      </c>
      <c r="H1223">
        <v>44371</v>
      </c>
      <c r="J1223">
        <v>44442</v>
      </c>
      <c r="K1223" t="s">
        <v>427</v>
      </c>
      <c r="L1223">
        <v>44497</v>
      </c>
    </row>
    <row r="1224" spans="1:12" x14ac:dyDescent="0.35">
      <c r="A1224" t="s">
        <v>359</v>
      </c>
      <c r="B1224" t="s">
        <v>432</v>
      </c>
      <c r="C1224" t="s">
        <v>302</v>
      </c>
      <c r="D1224" t="s">
        <v>155</v>
      </c>
      <c r="E1224">
        <v>83</v>
      </c>
      <c r="F1224">
        <v>11.931710144155076</v>
      </c>
      <c r="G1224">
        <v>5.9658550720775381</v>
      </c>
      <c r="H1224">
        <v>44371</v>
      </c>
    </row>
    <row r="1225" spans="1:12" x14ac:dyDescent="0.35">
      <c r="A1225" t="s">
        <v>213</v>
      </c>
      <c r="B1225" t="s">
        <v>432</v>
      </c>
      <c r="C1225" t="s">
        <v>302</v>
      </c>
      <c r="D1225" t="s">
        <v>155</v>
      </c>
      <c r="E1225">
        <v>3</v>
      </c>
      <c r="F1225">
        <v>2.170975116216729</v>
      </c>
      <c r="G1225">
        <v>0.65129253486501881</v>
      </c>
      <c r="H1225">
        <v>44371</v>
      </c>
    </row>
    <row r="1226" spans="1:12" x14ac:dyDescent="0.35">
      <c r="A1226" t="s">
        <v>190</v>
      </c>
      <c r="B1226" t="s">
        <v>432</v>
      </c>
      <c r="C1226" t="s">
        <v>302</v>
      </c>
      <c r="D1226" t="s">
        <v>155</v>
      </c>
      <c r="E1226">
        <v>55636</v>
      </c>
      <c r="F1226">
        <v>14400.1098690578</v>
      </c>
      <c r="G1226">
        <v>7200.0549345289</v>
      </c>
      <c r="H1226">
        <v>44371</v>
      </c>
      <c r="L1226">
        <v>44602</v>
      </c>
    </row>
    <row r="1227" spans="1:12" x14ac:dyDescent="0.35">
      <c r="A1227" t="s">
        <v>162</v>
      </c>
      <c r="B1227" t="s">
        <v>432</v>
      </c>
      <c r="C1227" t="s">
        <v>302</v>
      </c>
      <c r="D1227" t="s">
        <v>155</v>
      </c>
      <c r="E1227">
        <v>3443</v>
      </c>
      <c r="F1227">
        <v>3199.7598165863296</v>
      </c>
      <c r="G1227">
        <v>1919.8558899517973</v>
      </c>
      <c r="H1227">
        <v>44371</v>
      </c>
      <c r="J1227">
        <v>44442</v>
      </c>
      <c r="K1227" t="s">
        <v>426</v>
      </c>
      <c r="L1227">
        <v>44496</v>
      </c>
    </row>
    <row r="1228" spans="1:12" x14ac:dyDescent="0.35">
      <c r="A1228" t="s">
        <v>422</v>
      </c>
      <c r="B1228" t="s">
        <v>432</v>
      </c>
      <c r="C1228" t="s">
        <v>302</v>
      </c>
      <c r="D1228" t="s">
        <v>155</v>
      </c>
      <c r="E1228">
        <v>1623</v>
      </c>
      <c r="F1228">
        <v>253.95312540021007</v>
      </c>
      <c r="G1228">
        <v>152.37</v>
      </c>
      <c r="H1228">
        <v>44371</v>
      </c>
    </row>
    <row r="1229" spans="1:12" x14ac:dyDescent="0.35">
      <c r="A1229" t="s">
        <v>390</v>
      </c>
      <c r="B1229" t="s">
        <v>432</v>
      </c>
      <c r="C1229" t="s">
        <v>302</v>
      </c>
      <c r="D1229" t="s">
        <v>155</v>
      </c>
      <c r="E1229">
        <v>4485</v>
      </c>
      <c r="F1229">
        <v>2174.1177635674358</v>
      </c>
      <c r="G1229">
        <v>1087.0588817837179</v>
      </c>
      <c r="H1229">
        <v>44371</v>
      </c>
      <c r="J1229">
        <v>44442</v>
      </c>
      <c r="K1229" t="s">
        <v>426</v>
      </c>
      <c r="L1229">
        <v>44522</v>
      </c>
    </row>
    <row r="1230" spans="1:12" x14ac:dyDescent="0.35">
      <c r="A1230" t="s">
        <v>283</v>
      </c>
      <c r="B1230" t="s">
        <v>432</v>
      </c>
      <c r="C1230" t="s">
        <v>302</v>
      </c>
      <c r="D1230" t="s">
        <v>155</v>
      </c>
      <c r="E1230">
        <v>20758</v>
      </c>
      <c r="F1230">
        <v>6982.5358936992852</v>
      </c>
      <c r="G1230">
        <v>3491.2679468496426</v>
      </c>
      <c r="H1230">
        <v>44371</v>
      </c>
      <c r="L1230">
        <v>44482</v>
      </c>
    </row>
    <row r="1231" spans="1:12" x14ac:dyDescent="0.35">
      <c r="A1231" t="s">
        <v>306</v>
      </c>
      <c r="B1231" t="s">
        <v>432</v>
      </c>
      <c r="C1231" t="s">
        <v>302</v>
      </c>
      <c r="D1231" t="s">
        <v>155</v>
      </c>
      <c r="E1231">
        <v>113488</v>
      </c>
      <c r="F1231">
        <v>16528.144465018722</v>
      </c>
      <c r="G1231">
        <f>F1231/2</f>
        <v>8264.0722325093611</v>
      </c>
      <c r="H1231">
        <v>44371</v>
      </c>
      <c r="L1231">
        <v>44482</v>
      </c>
    </row>
    <row r="1232" spans="1:12" x14ac:dyDescent="0.35">
      <c r="A1232" t="s">
        <v>193</v>
      </c>
      <c r="B1232" t="s">
        <v>432</v>
      </c>
      <c r="C1232" t="s">
        <v>302</v>
      </c>
      <c r="D1232" t="s">
        <v>155</v>
      </c>
      <c r="E1232">
        <v>86</v>
      </c>
      <c r="F1232">
        <v>26.538820084259076</v>
      </c>
      <c r="G1232">
        <v>13.269410042129538</v>
      </c>
      <c r="H1232">
        <v>44371</v>
      </c>
    </row>
    <row r="1233" spans="1:12" x14ac:dyDescent="0.35">
      <c r="A1233" t="s">
        <v>186</v>
      </c>
      <c r="B1233" t="s">
        <v>432</v>
      </c>
      <c r="C1233" t="s">
        <v>302</v>
      </c>
      <c r="D1233" t="s">
        <v>155</v>
      </c>
      <c r="E1233">
        <v>22</v>
      </c>
      <c r="F1233">
        <v>2.1685028319204624</v>
      </c>
      <c r="G1233">
        <v>1.0842514159602312</v>
      </c>
      <c r="H1233">
        <v>44371</v>
      </c>
    </row>
    <row r="1234" spans="1:12" x14ac:dyDescent="0.35">
      <c r="A1234" t="s">
        <v>268</v>
      </c>
      <c r="B1234" t="s">
        <v>432</v>
      </c>
      <c r="C1234" t="s">
        <v>302</v>
      </c>
      <c r="D1234" t="s">
        <v>155</v>
      </c>
      <c r="E1234">
        <v>95</v>
      </c>
      <c r="F1234">
        <v>96.63354607889535</v>
      </c>
      <c r="G1234">
        <v>38.653418431558151</v>
      </c>
      <c r="H1234">
        <v>44371</v>
      </c>
    </row>
    <row r="1235" spans="1:12" x14ac:dyDescent="0.35">
      <c r="A1235" t="s">
        <v>400</v>
      </c>
      <c r="B1235" t="s">
        <v>432</v>
      </c>
      <c r="C1235" t="s">
        <v>302</v>
      </c>
      <c r="D1235" t="s">
        <v>155</v>
      </c>
      <c r="E1235">
        <v>351614</v>
      </c>
      <c r="F1235">
        <v>43372.334031984406</v>
      </c>
      <c r="G1235">
        <v>28192.017120789867</v>
      </c>
      <c r="H1235">
        <v>44371</v>
      </c>
      <c r="J1235">
        <v>44442</v>
      </c>
      <c r="L1235">
        <v>44476</v>
      </c>
    </row>
    <row r="1236" spans="1:12" x14ac:dyDescent="0.35">
      <c r="A1236" t="s">
        <v>435</v>
      </c>
      <c r="B1236" t="s">
        <v>406</v>
      </c>
      <c r="C1236" t="s">
        <v>302</v>
      </c>
      <c r="D1236" t="s">
        <v>155</v>
      </c>
      <c r="E1236">
        <v>995</v>
      </c>
      <c r="F1236">
        <v>2134.3824310270998</v>
      </c>
      <c r="G1236">
        <v>1067.1912155135499</v>
      </c>
      <c r="H1236">
        <v>44418</v>
      </c>
    </row>
    <row r="1237" spans="1:12" x14ac:dyDescent="0.35">
      <c r="A1237" t="s">
        <v>435</v>
      </c>
      <c r="B1237" t="s">
        <v>411</v>
      </c>
      <c r="C1237" t="s">
        <v>302</v>
      </c>
      <c r="D1237" t="s">
        <v>155</v>
      </c>
      <c r="E1237">
        <v>487</v>
      </c>
      <c r="F1237">
        <v>313.62705290311061</v>
      </c>
      <c r="G1237">
        <v>156.8135264515553</v>
      </c>
      <c r="H1237">
        <v>44418</v>
      </c>
    </row>
    <row r="1238" spans="1:12" x14ac:dyDescent="0.35">
      <c r="A1238" t="s">
        <v>435</v>
      </c>
      <c r="B1238" t="s">
        <v>415</v>
      </c>
      <c r="C1238" t="s">
        <v>302</v>
      </c>
      <c r="D1238" t="s">
        <v>155</v>
      </c>
      <c r="E1238">
        <v>836</v>
      </c>
      <c r="F1238">
        <v>411.24365722172473</v>
      </c>
      <c r="G1238">
        <v>205.62182861086237</v>
      </c>
      <c r="H1238">
        <v>44418</v>
      </c>
    </row>
    <row r="1239" spans="1:12" x14ac:dyDescent="0.35">
      <c r="A1239" t="s">
        <v>435</v>
      </c>
      <c r="B1239" t="s">
        <v>424</v>
      </c>
      <c r="C1239" t="s">
        <v>302</v>
      </c>
      <c r="D1239" t="s">
        <v>155</v>
      </c>
      <c r="E1239">
        <v>554</v>
      </c>
      <c r="F1239">
        <v>280.15094410575557</v>
      </c>
      <c r="G1239">
        <v>140.07547205287779</v>
      </c>
      <c r="H1239">
        <v>44418</v>
      </c>
    </row>
    <row r="1240" spans="1:12" x14ac:dyDescent="0.35">
      <c r="A1240" t="s">
        <v>436</v>
      </c>
      <c r="B1240" t="s">
        <v>437</v>
      </c>
      <c r="C1240" t="s">
        <v>302</v>
      </c>
      <c r="D1240" t="s">
        <v>155</v>
      </c>
      <c r="E1240">
        <v>1027719</v>
      </c>
      <c r="F1240">
        <v>140082.69525226817</v>
      </c>
      <c r="G1240">
        <v>70041.347626134084</v>
      </c>
      <c r="H1240">
        <v>44403</v>
      </c>
      <c r="L1240">
        <v>44572</v>
      </c>
    </row>
    <row r="1241" spans="1:12" x14ac:dyDescent="0.35">
      <c r="A1241" t="s">
        <v>436</v>
      </c>
      <c r="B1241" t="s">
        <v>432</v>
      </c>
      <c r="C1241" t="s">
        <v>302</v>
      </c>
      <c r="D1241" t="s">
        <v>155</v>
      </c>
      <c r="E1241">
        <v>407532</v>
      </c>
      <c r="F1241">
        <v>42408.445371160276</v>
      </c>
      <c r="G1241">
        <v>21204.222685580138</v>
      </c>
      <c r="H1241">
        <v>44405</v>
      </c>
      <c r="L1241">
        <v>44572</v>
      </c>
    </row>
    <row r="1242" spans="1:12" x14ac:dyDescent="0.35">
      <c r="A1242" t="s">
        <v>438</v>
      </c>
      <c r="B1242" t="s">
        <v>439</v>
      </c>
      <c r="C1242" t="s">
        <v>302</v>
      </c>
      <c r="D1242" t="s">
        <v>155</v>
      </c>
      <c r="E1242">
        <v>346</v>
      </c>
      <c r="F1242">
        <v>158.10663338219132</v>
      </c>
      <c r="G1242">
        <v>79.05331669109566</v>
      </c>
      <c r="H1242">
        <v>44428</v>
      </c>
    </row>
    <row r="1243" spans="1:12" x14ac:dyDescent="0.35">
      <c r="A1243" t="s">
        <v>440</v>
      </c>
      <c r="B1243" t="s">
        <v>439</v>
      </c>
      <c r="C1243" t="s">
        <v>302</v>
      </c>
      <c r="D1243" t="s">
        <v>155</v>
      </c>
      <c r="E1243">
        <v>10444</v>
      </c>
      <c r="F1243">
        <v>23965.150416634173</v>
      </c>
      <c r="G1243">
        <v>11982.575208317086</v>
      </c>
      <c r="H1243">
        <v>44428</v>
      </c>
      <c r="L1243">
        <v>44522</v>
      </c>
    </row>
    <row r="1244" spans="1:12" x14ac:dyDescent="0.35">
      <c r="A1244" t="s">
        <v>441</v>
      </c>
      <c r="B1244" t="s">
        <v>442</v>
      </c>
      <c r="C1244" t="s">
        <v>302</v>
      </c>
      <c r="D1244" t="s">
        <v>155</v>
      </c>
      <c r="E1244">
        <v>980</v>
      </c>
      <c r="F1244">
        <v>747.87714631353481</v>
      </c>
      <c r="G1244">
        <v>373.9385731567674</v>
      </c>
      <c r="H1244">
        <v>44428</v>
      </c>
    </row>
    <row r="1245" spans="1:12" x14ac:dyDescent="0.35">
      <c r="A1245" t="s">
        <v>379</v>
      </c>
      <c r="B1245" t="s">
        <v>443</v>
      </c>
      <c r="C1245" t="s">
        <v>302</v>
      </c>
      <c r="D1245" t="s">
        <v>155</v>
      </c>
      <c r="E1245">
        <v>8</v>
      </c>
      <c r="F1245">
        <v>1.3416206613209014</v>
      </c>
      <c r="G1245">
        <v>0.6708103306604507</v>
      </c>
      <c r="H1245">
        <v>44397</v>
      </c>
    </row>
    <row r="1246" spans="1:12" x14ac:dyDescent="0.35">
      <c r="A1246" t="s">
        <v>435</v>
      </c>
      <c r="B1246" t="s">
        <v>443</v>
      </c>
      <c r="C1246" t="s">
        <v>302</v>
      </c>
      <c r="D1246" t="s">
        <v>155</v>
      </c>
      <c r="E1246">
        <v>216</v>
      </c>
      <c r="F1246">
        <v>344.84722260368648</v>
      </c>
      <c r="G1246">
        <v>172.42361130184324</v>
      </c>
      <c r="H1246">
        <v>44397</v>
      </c>
    </row>
    <row r="1247" spans="1:12" x14ac:dyDescent="0.35">
      <c r="A1247" t="s">
        <v>381</v>
      </c>
      <c r="B1247" t="s">
        <v>443</v>
      </c>
      <c r="C1247" t="s">
        <v>302</v>
      </c>
      <c r="D1247" t="s">
        <v>155</v>
      </c>
      <c r="E1247">
        <v>3</v>
      </c>
      <c r="F1247">
        <v>0.6795625300945507</v>
      </c>
      <c r="G1247">
        <v>0.27182501203782028</v>
      </c>
      <c r="H1247">
        <v>44397</v>
      </c>
    </row>
    <row r="1248" spans="1:12" x14ac:dyDescent="0.35">
      <c r="A1248" t="s">
        <v>428</v>
      </c>
      <c r="B1248" t="s">
        <v>443</v>
      </c>
      <c r="C1248" t="s">
        <v>302</v>
      </c>
      <c r="D1248" t="s">
        <v>155</v>
      </c>
      <c r="E1248">
        <v>4082</v>
      </c>
      <c r="F1248">
        <v>780.64296058881848</v>
      </c>
      <c r="G1248">
        <v>390.32148029440924</v>
      </c>
      <c r="H1248">
        <v>44397</v>
      </c>
    </row>
    <row r="1249" spans="1:12" x14ac:dyDescent="0.35">
      <c r="A1249" t="s">
        <v>383</v>
      </c>
      <c r="B1249" t="s">
        <v>443</v>
      </c>
      <c r="C1249" t="s">
        <v>302</v>
      </c>
      <c r="D1249" t="s">
        <v>155</v>
      </c>
      <c r="E1249">
        <v>566</v>
      </c>
      <c r="F1249">
        <v>2640.142832636624</v>
      </c>
      <c r="G1249">
        <v>1056.0571330546495</v>
      </c>
      <c r="H1249">
        <v>44397</v>
      </c>
      <c r="L1249">
        <v>44610</v>
      </c>
    </row>
    <row r="1250" spans="1:12" x14ac:dyDescent="0.35">
      <c r="A1250" t="s">
        <v>357</v>
      </c>
      <c r="B1250" t="s">
        <v>443</v>
      </c>
      <c r="C1250" t="s">
        <v>302</v>
      </c>
      <c r="D1250" t="s">
        <v>155</v>
      </c>
      <c r="E1250">
        <v>9</v>
      </c>
      <c r="F1250">
        <v>18.114785272376473</v>
      </c>
      <c r="G1250">
        <v>9.0573926361882364</v>
      </c>
      <c r="H1250">
        <v>44397</v>
      </c>
    </row>
    <row r="1251" spans="1:12" x14ac:dyDescent="0.35">
      <c r="A1251" t="s">
        <v>375</v>
      </c>
      <c r="B1251" t="s">
        <v>443</v>
      </c>
      <c r="C1251" t="s">
        <v>302</v>
      </c>
      <c r="D1251" t="s">
        <v>155</v>
      </c>
      <c r="E1251">
        <v>8147</v>
      </c>
      <c r="F1251">
        <v>1194.6781346111711</v>
      </c>
      <c r="G1251">
        <v>597.33906730558556</v>
      </c>
      <c r="H1251">
        <v>44397</v>
      </c>
      <c r="L1251">
        <v>45133</v>
      </c>
    </row>
    <row r="1252" spans="1:12" x14ac:dyDescent="0.35">
      <c r="A1252" t="s">
        <v>405</v>
      </c>
      <c r="B1252" t="s">
        <v>443</v>
      </c>
      <c r="C1252" t="s">
        <v>302</v>
      </c>
      <c r="D1252" t="s">
        <v>155</v>
      </c>
      <c r="E1252">
        <v>14475</v>
      </c>
      <c r="F1252">
        <v>2069.934123478266</v>
      </c>
      <c r="G1252">
        <v>1034.967061739133</v>
      </c>
      <c r="H1252">
        <v>44397</v>
      </c>
      <c r="L1252">
        <v>45265</v>
      </c>
    </row>
    <row r="1253" spans="1:12" x14ac:dyDescent="0.35">
      <c r="A1253" t="s">
        <v>386</v>
      </c>
      <c r="B1253" t="s">
        <v>443</v>
      </c>
      <c r="C1253" t="s">
        <v>302</v>
      </c>
      <c r="D1253" t="s">
        <v>155</v>
      </c>
      <c r="E1253">
        <v>2429</v>
      </c>
      <c r="F1253">
        <v>382.23304654894474</v>
      </c>
      <c r="G1253">
        <v>191.11652327447237</v>
      </c>
      <c r="H1253">
        <v>44397</v>
      </c>
      <c r="L1253">
        <v>45106</v>
      </c>
    </row>
    <row r="1254" spans="1:12" x14ac:dyDescent="0.35">
      <c r="A1254" t="s">
        <v>326</v>
      </c>
      <c r="B1254" t="s">
        <v>443</v>
      </c>
      <c r="C1254" t="s">
        <v>302</v>
      </c>
      <c r="D1254" t="s">
        <v>155</v>
      </c>
      <c r="E1254">
        <v>6</v>
      </c>
      <c r="F1254">
        <v>6.5296058533142149</v>
      </c>
      <c r="G1254">
        <v>3.2648029266571075</v>
      </c>
      <c r="H1254">
        <v>44397</v>
      </c>
    </row>
    <row r="1255" spans="1:12" x14ac:dyDescent="0.35">
      <c r="A1255" t="s">
        <v>362</v>
      </c>
      <c r="B1255" t="s">
        <v>443</v>
      </c>
      <c r="C1255" t="s">
        <v>302</v>
      </c>
      <c r="D1255" t="s">
        <v>155</v>
      </c>
      <c r="E1255">
        <v>134</v>
      </c>
      <c r="F1255">
        <v>267.19655937373892</v>
      </c>
      <c r="G1255">
        <v>106.87862374949557</v>
      </c>
      <c r="H1255">
        <v>44397</v>
      </c>
    </row>
    <row r="1256" spans="1:12" x14ac:dyDescent="0.35">
      <c r="A1256" t="s">
        <v>416</v>
      </c>
      <c r="B1256" t="s">
        <v>443</v>
      </c>
      <c r="C1256" t="s">
        <v>302</v>
      </c>
      <c r="D1256" t="s">
        <v>155</v>
      </c>
      <c r="E1256">
        <v>87</v>
      </c>
      <c r="F1256">
        <v>74.153738433796079</v>
      </c>
      <c r="G1256">
        <v>37.076869216898039</v>
      </c>
      <c r="H1256">
        <v>44397</v>
      </c>
    </row>
    <row r="1257" spans="1:12" x14ac:dyDescent="0.35">
      <c r="A1257" t="s">
        <v>417</v>
      </c>
      <c r="B1257" t="s">
        <v>443</v>
      </c>
      <c r="C1257" t="s">
        <v>302</v>
      </c>
      <c r="D1257" t="s">
        <v>155</v>
      </c>
      <c r="E1257">
        <v>17988</v>
      </c>
      <c r="F1257">
        <v>2533.1921850721997</v>
      </c>
      <c r="G1257">
        <v>1266.5960925360998</v>
      </c>
      <c r="H1257">
        <v>44397</v>
      </c>
    </row>
    <row r="1258" spans="1:12" x14ac:dyDescent="0.35">
      <c r="A1258" t="s">
        <v>387</v>
      </c>
      <c r="B1258" t="s">
        <v>443</v>
      </c>
      <c r="C1258" t="s">
        <v>302</v>
      </c>
      <c r="D1258" t="s">
        <v>155</v>
      </c>
      <c r="E1258">
        <v>96</v>
      </c>
      <c r="F1258">
        <v>395.15143234806862</v>
      </c>
      <c r="G1258">
        <v>237.09085940884117</v>
      </c>
      <c r="H1258">
        <v>44397</v>
      </c>
      <c r="L1258">
        <v>44580</v>
      </c>
    </row>
    <row r="1259" spans="1:12" x14ac:dyDescent="0.35">
      <c r="A1259" t="s">
        <v>329</v>
      </c>
      <c r="B1259" t="s">
        <v>443</v>
      </c>
      <c r="C1259" t="s">
        <v>302</v>
      </c>
      <c r="D1259" t="s">
        <v>155</v>
      </c>
      <c r="E1259">
        <v>158</v>
      </c>
      <c r="F1259">
        <v>399.12453473029433</v>
      </c>
      <c r="G1259">
        <v>199.56226736514716</v>
      </c>
      <c r="H1259">
        <v>44397</v>
      </c>
      <c r="L1259">
        <v>44522</v>
      </c>
    </row>
    <row r="1260" spans="1:12" x14ac:dyDescent="0.35">
      <c r="A1260" t="s">
        <v>210</v>
      </c>
      <c r="B1260" t="s">
        <v>443</v>
      </c>
      <c r="C1260" t="s">
        <v>302</v>
      </c>
      <c r="D1260" t="s">
        <v>155</v>
      </c>
      <c r="E1260">
        <v>5</v>
      </c>
      <c r="F1260">
        <v>2.0736963880200525</v>
      </c>
      <c r="G1260">
        <v>0.62210891640601573</v>
      </c>
      <c r="H1260">
        <v>44397</v>
      </c>
    </row>
    <row r="1261" spans="1:12" x14ac:dyDescent="0.35">
      <c r="A1261" t="s">
        <v>401</v>
      </c>
      <c r="B1261" t="s">
        <v>443</v>
      </c>
      <c r="C1261" t="s">
        <v>302</v>
      </c>
      <c r="D1261" t="s">
        <v>155</v>
      </c>
      <c r="E1261">
        <v>19694</v>
      </c>
      <c r="F1261">
        <v>5575.017851426207</v>
      </c>
      <c r="G1261">
        <v>2787.5089257131035</v>
      </c>
      <c r="H1261">
        <v>44397</v>
      </c>
    </row>
    <row r="1262" spans="1:12" x14ac:dyDescent="0.35">
      <c r="A1262" t="s">
        <v>366</v>
      </c>
      <c r="B1262" t="s">
        <v>443</v>
      </c>
      <c r="C1262" t="s">
        <v>302</v>
      </c>
      <c r="D1262" t="s">
        <v>155</v>
      </c>
      <c r="E1262">
        <v>2</v>
      </c>
      <c r="F1262">
        <v>0.54715090384928056</v>
      </c>
      <c r="G1262">
        <v>0.27357545192464028</v>
      </c>
      <c r="H1262">
        <v>44397</v>
      </c>
      <c r="L1262">
        <v>45442</v>
      </c>
    </row>
    <row r="1263" spans="1:12" x14ac:dyDescent="0.35">
      <c r="A1263" t="s">
        <v>332</v>
      </c>
      <c r="B1263" t="s">
        <v>443</v>
      </c>
      <c r="C1263" t="s">
        <v>302</v>
      </c>
      <c r="D1263" t="s">
        <v>155</v>
      </c>
      <c r="E1263">
        <v>16</v>
      </c>
      <c r="F1263">
        <v>76.839867456547296</v>
      </c>
      <c r="G1263">
        <v>30.73594698261892</v>
      </c>
      <c r="H1263">
        <v>44397</v>
      </c>
    </row>
    <row r="1264" spans="1:12" x14ac:dyDescent="0.35">
      <c r="A1264" t="s">
        <v>314</v>
      </c>
      <c r="B1264" t="s">
        <v>443</v>
      </c>
      <c r="C1264" t="s">
        <v>302</v>
      </c>
      <c r="D1264" t="s">
        <v>155</v>
      </c>
      <c r="E1264">
        <v>104</v>
      </c>
      <c r="F1264">
        <v>449.69265953481681</v>
      </c>
      <c r="G1264">
        <v>134.90779786044504</v>
      </c>
      <c r="H1264">
        <v>44397</v>
      </c>
      <c r="J1264">
        <v>44442</v>
      </c>
      <c r="K1264" t="s">
        <v>426</v>
      </c>
      <c r="L1264">
        <v>44691</v>
      </c>
    </row>
    <row r="1265" spans="1:12" x14ac:dyDescent="0.35">
      <c r="A1265" t="s">
        <v>30</v>
      </c>
      <c r="B1265" t="s">
        <v>443</v>
      </c>
      <c r="C1265" t="s">
        <v>302</v>
      </c>
      <c r="D1265" t="s">
        <v>155</v>
      </c>
      <c r="E1265">
        <v>27874</v>
      </c>
      <c r="F1265">
        <v>7322.0215200276753</v>
      </c>
      <c r="G1265">
        <v>3661.0107600138376</v>
      </c>
      <c r="H1265">
        <v>44397</v>
      </c>
    </row>
    <row r="1266" spans="1:12" x14ac:dyDescent="0.35">
      <c r="A1266" t="s">
        <v>347</v>
      </c>
      <c r="B1266" t="s">
        <v>443</v>
      </c>
      <c r="C1266" t="s">
        <v>302</v>
      </c>
      <c r="D1266" t="s">
        <v>155</v>
      </c>
      <c r="E1266">
        <v>1</v>
      </c>
      <c r="F1266">
        <v>28.919526924347544</v>
      </c>
      <c r="G1266">
        <v>8.6758580773042624</v>
      </c>
      <c r="H1266">
        <v>44397</v>
      </c>
    </row>
    <row r="1267" spans="1:12" x14ac:dyDescent="0.35">
      <c r="A1267" t="s">
        <v>420</v>
      </c>
      <c r="B1267" t="s">
        <v>443</v>
      </c>
      <c r="C1267" t="s">
        <v>302</v>
      </c>
      <c r="D1267" t="s">
        <v>155</v>
      </c>
      <c r="E1267">
        <v>11</v>
      </c>
      <c r="F1267">
        <v>1.4565278886979716</v>
      </c>
      <c r="G1267">
        <v>0.72826394434898578</v>
      </c>
      <c r="H1267">
        <v>44397</v>
      </c>
    </row>
    <row r="1268" spans="1:12" x14ac:dyDescent="0.35">
      <c r="A1268" t="s">
        <v>388</v>
      </c>
      <c r="B1268" t="s">
        <v>443</v>
      </c>
      <c r="C1268" t="s">
        <v>302</v>
      </c>
      <c r="D1268" t="s">
        <v>155</v>
      </c>
      <c r="E1268">
        <v>1388</v>
      </c>
      <c r="F1268">
        <v>5815.9483912036703</v>
      </c>
      <c r="G1268">
        <v>2907.9741956018352</v>
      </c>
      <c r="H1268">
        <v>44397</v>
      </c>
      <c r="J1268">
        <v>44442</v>
      </c>
      <c r="K1268" t="s">
        <v>427</v>
      </c>
      <c r="L1268">
        <v>44497</v>
      </c>
    </row>
    <row r="1269" spans="1:12" x14ac:dyDescent="0.35">
      <c r="A1269" t="s">
        <v>359</v>
      </c>
      <c r="B1269" t="s">
        <v>443</v>
      </c>
      <c r="C1269" t="s">
        <v>302</v>
      </c>
      <c r="D1269" t="s">
        <v>155</v>
      </c>
      <c r="E1269">
        <v>10</v>
      </c>
      <c r="F1269">
        <v>1.3241162624527014</v>
      </c>
      <c r="G1269">
        <v>0.66205813122635071</v>
      </c>
      <c r="H1269">
        <v>44397</v>
      </c>
    </row>
    <row r="1270" spans="1:12" x14ac:dyDescent="0.35">
      <c r="A1270" t="s">
        <v>190</v>
      </c>
      <c r="B1270" t="s">
        <v>443</v>
      </c>
      <c r="C1270" t="s">
        <v>302</v>
      </c>
      <c r="D1270" t="s">
        <v>155</v>
      </c>
      <c r="E1270">
        <v>41615</v>
      </c>
      <c r="F1270">
        <v>6506.648477831257</v>
      </c>
      <c r="G1270">
        <v>3253.3242389156285</v>
      </c>
      <c r="H1270">
        <v>44397</v>
      </c>
      <c r="L1270">
        <v>44602</v>
      </c>
    </row>
    <row r="1271" spans="1:12" x14ac:dyDescent="0.35">
      <c r="A1271" t="s">
        <v>162</v>
      </c>
      <c r="B1271" t="s">
        <v>443</v>
      </c>
      <c r="C1271" t="s">
        <v>302</v>
      </c>
      <c r="D1271" t="s">
        <v>155</v>
      </c>
      <c r="E1271">
        <v>469</v>
      </c>
      <c r="F1271">
        <v>679.15816484207562</v>
      </c>
      <c r="G1271">
        <v>407.49489890524535</v>
      </c>
      <c r="H1271">
        <v>44397</v>
      </c>
      <c r="J1271">
        <v>44442</v>
      </c>
      <c r="K1271" t="s">
        <v>426</v>
      </c>
      <c r="L1271">
        <v>44496</v>
      </c>
    </row>
    <row r="1272" spans="1:12" x14ac:dyDescent="0.35">
      <c r="A1272" t="s">
        <v>422</v>
      </c>
      <c r="B1272" t="s">
        <v>443</v>
      </c>
      <c r="C1272" t="s">
        <v>302</v>
      </c>
      <c r="D1272" t="s">
        <v>155</v>
      </c>
      <c r="E1272">
        <v>990</v>
      </c>
      <c r="F1272">
        <v>159.82284866917416</v>
      </c>
      <c r="G1272">
        <v>95.89</v>
      </c>
      <c r="H1272">
        <v>44397</v>
      </c>
    </row>
    <row r="1273" spans="1:12" x14ac:dyDescent="0.35">
      <c r="A1273" t="s">
        <v>390</v>
      </c>
      <c r="B1273" t="s">
        <v>443</v>
      </c>
      <c r="C1273" t="s">
        <v>302</v>
      </c>
      <c r="D1273" t="s">
        <v>155</v>
      </c>
      <c r="E1273">
        <v>2793</v>
      </c>
      <c r="F1273">
        <v>1371.4053516822428</v>
      </c>
      <c r="G1273">
        <v>685.70267584112139</v>
      </c>
      <c r="H1273">
        <v>44397</v>
      </c>
      <c r="J1273">
        <v>44442</v>
      </c>
      <c r="K1273" t="s">
        <v>426</v>
      </c>
      <c r="L1273">
        <v>44522</v>
      </c>
    </row>
    <row r="1274" spans="1:12" x14ac:dyDescent="0.35">
      <c r="A1274" t="s">
        <v>283</v>
      </c>
      <c r="B1274" t="s">
        <v>443</v>
      </c>
      <c r="C1274" t="s">
        <v>302</v>
      </c>
      <c r="D1274" t="s">
        <v>155</v>
      </c>
      <c r="E1274">
        <v>15883</v>
      </c>
      <c r="F1274">
        <v>2475.5624242558924</v>
      </c>
      <c r="G1274">
        <v>1237.7812121279462</v>
      </c>
      <c r="H1274">
        <v>44397</v>
      </c>
      <c r="L1274">
        <v>44482</v>
      </c>
    </row>
    <row r="1275" spans="1:12" x14ac:dyDescent="0.35">
      <c r="A1275" t="s">
        <v>306</v>
      </c>
      <c r="B1275" t="s">
        <v>443</v>
      </c>
      <c r="C1275" t="s">
        <v>302</v>
      </c>
      <c r="D1275" t="s">
        <v>155</v>
      </c>
      <c r="E1275">
        <v>50018</v>
      </c>
      <c r="F1275">
        <v>6859.8712719969326</v>
      </c>
      <c r="G1275">
        <v>3429.9356359984663</v>
      </c>
      <c r="H1275">
        <v>44397</v>
      </c>
      <c r="L1275">
        <v>44482</v>
      </c>
    </row>
    <row r="1276" spans="1:12" x14ac:dyDescent="0.35">
      <c r="A1276" t="s">
        <v>193</v>
      </c>
      <c r="B1276" t="s">
        <v>443</v>
      </c>
      <c r="C1276" t="s">
        <v>302</v>
      </c>
      <c r="D1276" t="s">
        <v>155</v>
      </c>
      <c r="E1276">
        <v>9</v>
      </c>
      <c r="F1276">
        <v>2.0386875902836521</v>
      </c>
      <c r="G1276">
        <v>1.019343795141826</v>
      </c>
      <c r="H1276">
        <v>44397</v>
      </c>
    </row>
    <row r="1277" spans="1:12" x14ac:dyDescent="0.35">
      <c r="A1277" t="s">
        <v>186</v>
      </c>
      <c r="B1277" t="s">
        <v>443</v>
      </c>
      <c r="C1277" t="s">
        <v>302</v>
      </c>
      <c r="D1277" t="s">
        <v>155</v>
      </c>
      <c r="E1277">
        <v>15</v>
      </c>
      <c r="F1277">
        <v>1.9861743936790521</v>
      </c>
      <c r="G1277">
        <v>0.99308719683952607</v>
      </c>
      <c r="H1277">
        <v>44397</v>
      </c>
    </row>
    <row r="1278" spans="1:12" x14ac:dyDescent="0.35">
      <c r="A1278" t="s">
        <v>268</v>
      </c>
      <c r="B1278" t="s">
        <v>443</v>
      </c>
      <c r="C1278" t="s">
        <v>302</v>
      </c>
      <c r="D1278" t="s">
        <v>155</v>
      </c>
      <c r="E1278">
        <v>39</v>
      </c>
      <c r="F1278">
        <v>31.016457389191103</v>
      </c>
      <c r="G1278">
        <v>12.406582955676441</v>
      </c>
      <c r="H1278">
        <v>44397</v>
      </c>
    </row>
    <row r="1279" spans="1:12" x14ac:dyDescent="0.35">
      <c r="A1279" t="s">
        <v>400</v>
      </c>
      <c r="B1279" t="s">
        <v>443</v>
      </c>
      <c r="C1279" t="s">
        <v>302</v>
      </c>
      <c r="D1279" t="s">
        <v>155</v>
      </c>
      <c r="E1279">
        <v>318346</v>
      </c>
      <c r="F1279">
        <v>48376.8511156518</v>
      </c>
      <c r="G1279">
        <v>31444.953225173704</v>
      </c>
      <c r="H1279">
        <v>44397</v>
      </c>
      <c r="J1279">
        <v>44442</v>
      </c>
      <c r="L1279">
        <v>44476</v>
      </c>
    </row>
    <row r="1280" spans="1:12" x14ac:dyDescent="0.35">
      <c r="A1280" t="s">
        <v>379</v>
      </c>
      <c r="B1280" t="s">
        <v>444</v>
      </c>
      <c r="C1280" t="s">
        <v>302</v>
      </c>
      <c r="D1280" t="s">
        <v>155</v>
      </c>
      <c r="E1280">
        <v>7</v>
      </c>
      <c r="F1280">
        <v>1.8346093512112396</v>
      </c>
      <c r="G1280">
        <v>0.91730467560561979</v>
      </c>
      <c r="H1280">
        <v>44428</v>
      </c>
    </row>
    <row r="1281" spans="1:12" x14ac:dyDescent="0.35">
      <c r="A1281" t="s">
        <v>435</v>
      </c>
      <c r="B1281" t="s">
        <v>444</v>
      </c>
      <c r="C1281" t="s">
        <v>302</v>
      </c>
      <c r="D1281" t="s">
        <v>155</v>
      </c>
      <c r="E1281">
        <v>510</v>
      </c>
      <c r="F1281">
        <v>331.98967626112733</v>
      </c>
      <c r="G1281">
        <v>165.99483813056366</v>
      </c>
      <c r="H1281">
        <v>44428</v>
      </c>
    </row>
    <row r="1282" spans="1:12" x14ac:dyDescent="0.35">
      <c r="A1282" t="s">
        <v>381</v>
      </c>
      <c r="B1282" t="s">
        <v>444</v>
      </c>
      <c r="C1282" t="s">
        <v>302</v>
      </c>
      <c r="D1282" t="s">
        <v>155</v>
      </c>
      <c r="E1282" t="s">
        <v>394</v>
      </c>
      <c r="F1282" t="s">
        <v>394</v>
      </c>
      <c r="G1282" t="s">
        <v>394</v>
      </c>
      <c r="H1282">
        <v>44428</v>
      </c>
    </row>
    <row r="1283" spans="1:12" x14ac:dyDescent="0.35">
      <c r="A1283" t="s">
        <v>428</v>
      </c>
      <c r="B1283" t="s">
        <v>444</v>
      </c>
      <c r="C1283" t="s">
        <v>302</v>
      </c>
      <c r="D1283" t="s">
        <v>155</v>
      </c>
      <c r="E1283">
        <v>2713</v>
      </c>
      <c r="F1283">
        <v>552.83798338835129</v>
      </c>
      <c r="G1283">
        <v>276.41899169417565</v>
      </c>
      <c r="H1283">
        <v>44428</v>
      </c>
    </row>
    <row r="1284" spans="1:12" x14ac:dyDescent="0.35">
      <c r="A1284" t="s">
        <v>383</v>
      </c>
      <c r="B1284" t="s">
        <v>444</v>
      </c>
      <c r="C1284" t="s">
        <v>302</v>
      </c>
      <c r="D1284" t="s">
        <v>155</v>
      </c>
      <c r="E1284">
        <v>679</v>
      </c>
      <c r="F1284">
        <v>3193.9877414864272</v>
      </c>
      <c r="G1284">
        <v>1277.5950965945708</v>
      </c>
      <c r="H1284">
        <v>44428</v>
      </c>
      <c r="L1284">
        <v>44610</v>
      </c>
    </row>
    <row r="1285" spans="1:12" x14ac:dyDescent="0.35">
      <c r="A1285" t="s">
        <v>357</v>
      </c>
      <c r="B1285" t="s">
        <v>444</v>
      </c>
      <c r="C1285" t="s">
        <v>302</v>
      </c>
      <c r="D1285" t="s">
        <v>155</v>
      </c>
      <c r="E1285">
        <v>7</v>
      </c>
      <c r="F1285">
        <v>15.837665742384951</v>
      </c>
      <c r="G1285">
        <v>7.9188328711924756</v>
      </c>
      <c r="H1285">
        <v>44428</v>
      </c>
    </row>
    <row r="1286" spans="1:12" x14ac:dyDescent="0.35">
      <c r="A1286" t="s">
        <v>375</v>
      </c>
      <c r="B1286" t="s">
        <v>444</v>
      </c>
      <c r="C1286" t="s">
        <v>302</v>
      </c>
      <c r="D1286" t="s">
        <v>155</v>
      </c>
      <c r="E1286">
        <v>6566</v>
      </c>
      <c r="F1286">
        <v>914.85802683603447</v>
      </c>
      <c r="G1286">
        <v>457.42901341801723</v>
      </c>
      <c r="H1286">
        <v>44428</v>
      </c>
      <c r="L1286">
        <v>45133</v>
      </c>
    </row>
    <row r="1287" spans="1:12" x14ac:dyDescent="0.35">
      <c r="A1287" t="s">
        <v>405</v>
      </c>
      <c r="B1287" t="s">
        <v>444</v>
      </c>
      <c r="C1287" t="s">
        <v>302</v>
      </c>
      <c r="D1287" t="s">
        <v>155</v>
      </c>
      <c r="E1287">
        <v>15786</v>
      </c>
      <c r="F1287">
        <v>2189.6071033446574</v>
      </c>
      <c r="G1287">
        <v>1094.8035516723287</v>
      </c>
      <c r="H1287">
        <v>44428</v>
      </c>
      <c r="L1287">
        <v>45265</v>
      </c>
    </row>
    <row r="1288" spans="1:12" x14ac:dyDescent="0.35">
      <c r="A1288" t="s">
        <v>386</v>
      </c>
      <c r="B1288" t="s">
        <v>444</v>
      </c>
      <c r="C1288" t="s">
        <v>302</v>
      </c>
      <c r="D1288" t="s">
        <v>155</v>
      </c>
      <c r="E1288">
        <v>2344</v>
      </c>
      <c r="F1288">
        <v>369.66933062819544</v>
      </c>
      <c r="G1288">
        <v>184.83466531409772</v>
      </c>
      <c r="H1288">
        <v>44428</v>
      </c>
      <c r="L1288">
        <v>45106</v>
      </c>
    </row>
    <row r="1289" spans="1:12" x14ac:dyDescent="0.35">
      <c r="A1289" t="s">
        <v>438</v>
      </c>
      <c r="B1289" t="s">
        <v>444</v>
      </c>
      <c r="C1289" t="s">
        <v>302</v>
      </c>
      <c r="D1289" t="s">
        <v>155</v>
      </c>
      <c r="E1289">
        <v>39</v>
      </c>
      <c r="F1289">
        <v>5.4901094945944955</v>
      </c>
      <c r="G1289">
        <v>2.7450547472972477</v>
      </c>
      <c r="H1289">
        <v>44428</v>
      </c>
    </row>
    <row r="1290" spans="1:12" x14ac:dyDescent="0.35">
      <c r="A1290" t="s">
        <v>326</v>
      </c>
      <c r="B1290" t="s">
        <v>444</v>
      </c>
      <c r="C1290" t="s">
        <v>302</v>
      </c>
      <c r="D1290" t="s">
        <v>155</v>
      </c>
      <c r="E1290">
        <v>1</v>
      </c>
      <c r="F1290">
        <v>6.8971072170014933</v>
      </c>
      <c r="G1290">
        <v>3.4485536085007467</v>
      </c>
      <c r="H1290">
        <v>44428</v>
      </c>
    </row>
    <row r="1291" spans="1:12" x14ac:dyDescent="0.35">
      <c r="A1291" t="s">
        <v>445</v>
      </c>
      <c r="B1291" t="s">
        <v>444</v>
      </c>
      <c r="C1291" t="s">
        <v>302</v>
      </c>
      <c r="D1291" t="s">
        <v>155</v>
      </c>
      <c r="E1291">
        <v>640</v>
      </c>
      <c r="F1291">
        <v>905.64187604719245</v>
      </c>
      <c r="G1291">
        <v>452.82093802359623</v>
      </c>
      <c r="H1291">
        <v>44428</v>
      </c>
    </row>
    <row r="1292" spans="1:12" x14ac:dyDescent="0.35">
      <c r="A1292" t="s">
        <v>362</v>
      </c>
      <c r="B1292" t="s">
        <v>444</v>
      </c>
      <c r="C1292" t="s">
        <v>302</v>
      </c>
      <c r="D1292" t="s">
        <v>155</v>
      </c>
      <c r="E1292">
        <v>162</v>
      </c>
      <c r="F1292">
        <v>341.53456305727531</v>
      </c>
      <c r="G1292">
        <v>136.61382522291012</v>
      </c>
      <c r="H1292">
        <v>44428</v>
      </c>
    </row>
    <row r="1293" spans="1:12" x14ac:dyDescent="0.35">
      <c r="A1293" t="s">
        <v>446</v>
      </c>
      <c r="B1293" t="s">
        <v>444</v>
      </c>
      <c r="C1293" t="s">
        <v>302</v>
      </c>
      <c r="D1293" t="s">
        <v>155</v>
      </c>
      <c r="E1293">
        <v>38</v>
      </c>
      <c r="F1293">
        <v>13.871663386086205</v>
      </c>
      <c r="G1293">
        <v>6.9358316930431023</v>
      </c>
      <c r="H1293">
        <v>44428</v>
      </c>
    </row>
    <row r="1294" spans="1:12" x14ac:dyDescent="0.35">
      <c r="A1294" t="s">
        <v>416</v>
      </c>
      <c r="B1294" t="s">
        <v>444</v>
      </c>
      <c r="C1294" t="s">
        <v>302</v>
      </c>
      <c r="D1294" t="s">
        <v>155</v>
      </c>
      <c r="E1294">
        <v>111</v>
      </c>
      <c r="F1294">
        <v>63.741977634220447</v>
      </c>
      <c r="G1294">
        <v>31.870988817110224</v>
      </c>
      <c r="H1294">
        <v>44428</v>
      </c>
    </row>
    <row r="1295" spans="1:12" x14ac:dyDescent="0.35">
      <c r="A1295" t="s">
        <v>417</v>
      </c>
      <c r="B1295" t="s">
        <v>444</v>
      </c>
      <c r="C1295" t="s">
        <v>302</v>
      </c>
      <c r="D1295" t="s">
        <v>155</v>
      </c>
      <c r="E1295">
        <v>13142</v>
      </c>
      <c r="F1295">
        <v>2142.9933185043301</v>
      </c>
      <c r="G1295">
        <v>1071.496659252165</v>
      </c>
      <c r="H1295">
        <v>44428</v>
      </c>
    </row>
    <row r="1296" spans="1:12" x14ac:dyDescent="0.35">
      <c r="A1296" t="s">
        <v>387</v>
      </c>
      <c r="B1296" t="s">
        <v>444</v>
      </c>
      <c r="C1296" t="s">
        <v>302</v>
      </c>
      <c r="D1296" t="s">
        <v>155</v>
      </c>
      <c r="E1296">
        <v>64</v>
      </c>
      <c r="F1296">
        <v>278.08179688154758</v>
      </c>
      <c r="G1296">
        <v>166.84907812892854</v>
      </c>
      <c r="H1296">
        <v>44428</v>
      </c>
      <c r="L1296">
        <v>44580</v>
      </c>
    </row>
    <row r="1297" spans="1:12" x14ac:dyDescent="0.35">
      <c r="A1297" t="s">
        <v>329</v>
      </c>
      <c r="B1297" t="s">
        <v>444</v>
      </c>
      <c r="C1297" t="s">
        <v>302</v>
      </c>
      <c r="D1297" t="s">
        <v>155</v>
      </c>
      <c r="E1297">
        <v>84</v>
      </c>
      <c r="F1297">
        <v>310.02456797376061</v>
      </c>
      <c r="G1297">
        <v>155.01228398688031</v>
      </c>
      <c r="H1297">
        <v>44428</v>
      </c>
      <c r="L1297">
        <v>44522</v>
      </c>
    </row>
    <row r="1298" spans="1:12" x14ac:dyDescent="0.35">
      <c r="A1298" t="s">
        <v>210</v>
      </c>
      <c r="B1298" t="s">
        <v>444</v>
      </c>
      <c r="C1298" t="s">
        <v>302</v>
      </c>
      <c r="D1298" t="s">
        <v>155</v>
      </c>
      <c r="E1298">
        <v>4</v>
      </c>
      <c r="F1298">
        <v>1.9146399050301635</v>
      </c>
      <c r="G1298">
        <v>0.57439197150904897</v>
      </c>
      <c r="H1298">
        <v>44428</v>
      </c>
    </row>
    <row r="1299" spans="1:12" x14ac:dyDescent="0.35">
      <c r="A1299" t="s">
        <v>401</v>
      </c>
      <c r="B1299" t="s">
        <v>444</v>
      </c>
      <c r="C1299" t="s">
        <v>302</v>
      </c>
      <c r="D1299" t="s">
        <v>155</v>
      </c>
      <c r="E1299">
        <v>16272</v>
      </c>
      <c r="F1299">
        <v>3546.1059255404361</v>
      </c>
      <c r="G1299">
        <v>1773.0529627702181</v>
      </c>
      <c r="H1299">
        <v>44428</v>
      </c>
    </row>
    <row r="1300" spans="1:12" x14ac:dyDescent="0.35">
      <c r="A1300" t="s">
        <v>447</v>
      </c>
      <c r="B1300" t="s">
        <v>444</v>
      </c>
      <c r="C1300" t="s">
        <v>302</v>
      </c>
      <c r="D1300" t="s">
        <v>155</v>
      </c>
      <c r="E1300">
        <v>1</v>
      </c>
      <c r="F1300">
        <v>6.8971072170014933</v>
      </c>
      <c r="G1300">
        <v>3.4485536085007467</v>
      </c>
      <c r="H1300">
        <v>44428</v>
      </c>
    </row>
    <row r="1301" spans="1:12" x14ac:dyDescent="0.35">
      <c r="A1301" t="s">
        <v>425</v>
      </c>
      <c r="B1301" t="s">
        <v>444</v>
      </c>
      <c r="C1301" t="s">
        <v>302</v>
      </c>
      <c r="D1301" t="s">
        <v>155</v>
      </c>
      <c r="E1301">
        <v>2</v>
      </c>
      <c r="F1301">
        <v>1.1905523344522428</v>
      </c>
      <c r="G1301">
        <v>0.59527616722612142</v>
      </c>
      <c r="H1301">
        <v>44428</v>
      </c>
    </row>
    <row r="1302" spans="1:12" x14ac:dyDescent="0.35">
      <c r="A1302" t="s">
        <v>366</v>
      </c>
      <c r="B1302" t="s">
        <v>444</v>
      </c>
      <c r="C1302" t="s">
        <v>302</v>
      </c>
      <c r="D1302" t="s">
        <v>155</v>
      </c>
      <c r="E1302">
        <v>3</v>
      </c>
      <c r="F1302">
        <v>7.1547300237050919</v>
      </c>
      <c r="G1302">
        <v>3.577365011852546</v>
      </c>
      <c r="H1302">
        <v>44428</v>
      </c>
      <c r="L1302">
        <v>45442</v>
      </c>
    </row>
    <row r="1303" spans="1:12" x14ac:dyDescent="0.35">
      <c r="A1303" t="s">
        <v>332</v>
      </c>
      <c r="B1303" t="s">
        <v>444</v>
      </c>
      <c r="C1303" t="s">
        <v>302</v>
      </c>
      <c r="D1303" t="s">
        <v>155</v>
      </c>
      <c r="E1303">
        <v>15</v>
      </c>
      <c r="F1303">
        <v>64.769981461301811</v>
      </c>
      <c r="G1303">
        <v>25.907992584520724</v>
      </c>
      <c r="H1303">
        <v>44428</v>
      </c>
    </row>
    <row r="1304" spans="1:12" x14ac:dyDescent="0.35">
      <c r="A1304" t="s">
        <v>314</v>
      </c>
      <c r="B1304" t="s">
        <v>444</v>
      </c>
      <c r="C1304" t="s">
        <v>302</v>
      </c>
      <c r="D1304" t="s">
        <v>155</v>
      </c>
      <c r="E1304">
        <v>113</v>
      </c>
      <c r="F1304">
        <v>454.62955507599548</v>
      </c>
      <c r="G1304">
        <v>136.38886652279865</v>
      </c>
      <c r="H1304">
        <v>44428</v>
      </c>
      <c r="J1304">
        <v>44509</v>
      </c>
      <c r="K1304" t="s">
        <v>448</v>
      </c>
      <c r="L1304">
        <v>44691</v>
      </c>
    </row>
    <row r="1305" spans="1:12" x14ac:dyDescent="0.35">
      <c r="A1305" t="s">
        <v>30</v>
      </c>
      <c r="B1305" t="s">
        <v>444</v>
      </c>
      <c r="C1305" t="s">
        <v>302</v>
      </c>
      <c r="D1305" t="s">
        <v>155</v>
      </c>
      <c r="E1305">
        <v>24152</v>
      </c>
      <c r="F1305">
        <v>7154.1377351446436</v>
      </c>
      <c r="G1305">
        <v>3577.0688675723218</v>
      </c>
      <c r="H1305">
        <v>44428</v>
      </c>
    </row>
    <row r="1306" spans="1:12" x14ac:dyDescent="0.35">
      <c r="A1306" t="s">
        <v>347</v>
      </c>
      <c r="B1306" t="s">
        <v>444</v>
      </c>
      <c r="C1306" t="s">
        <v>302</v>
      </c>
      <c r="D1306" t="s">
        <v>155</v>
      </c>
      <c r="E1306">
        <v>1</v>
      </c>
      <c r="F1306">
        <v>0.12881140335179933</v>
      </c>
      <c r="G1306">
        <v>3.8643421005539795E-2</v>
      </c>
      <c r="H1306">
        <v>44428</v>
      </c>
    </row>
    <row r="1307" spans="1:12" x14ac:dyDescent="0.35">
      <c r="A1307" t="s">
        <v>420</v>
      </c>
      <c r="B1307" t="s">
        <v>444</v>
      </c>
      <c r="C1307" t="s">
        <v>302</v>
      </c>
      <c r="D1307" t="s">
        <v>155</v>
      </c>
      <c r="E1307">
        <v>8</v>
      </c>
      <c r="F1307">
        <v>7.7987870404640889</v>
      </c>
      <c r="G1307">
        <v>3.8993935202320444</v>
      </c>
      <c r="H1307">
        <v>44428</v>
      </c>
    </row>
    <row r="1308" spans="1:12" x14ac:dyDescent="0.35">
      <c r="A1308" t="s">
        <v>388</v>
      </c>
      <c r="B1308" t="s">
        <v>444</v>
      </c>
      <c r="C1308" t="s">
        <v>302</v>
      </c>
      <c r="D1308" t="s">
        <v>155</v>
      </c>
      <c r="E1308">
        <v>1389</v>
      </c>
      <c r="F1308">
        <v>5901.0194734712895</v>
      </c>
      <c r="G1308">
        <v>2950.5097367356448</v>
      </c>
      <c r="H1308">
        <v>44428</v>
      </c>
      <c r="J1308">
        <v>44509</v>
      </c>
      <c r="K1308" t="s">
        <v>449</v>
      </c>
      <c r="L1308">
        <v>44512</v>
      </c>
    </row>
    <row r="1309" spans="1:12" x14ac:dyDescent="0.35">
      <c r="A1309" t="s">
        <v>436</v>
      </c>
      <c r="B1309" t="s">
        <v>444</v>
      </c>
      <c r="C1309" t="s">
        <v>302</v>
      </c>
      <c r="D1309" t="s">
        <v>155</v>
      </c>
      <c r="E1309">
        <v>79434</v>
      </c>
      <c r="F1309">
        <v>10364.034908753732</v>
      </c>
      <c r="G1309">
        <v>5182.0174543768662</v>
      </c>
      <c r="H1309">
        <v>44428</v>
      </c>
      <c r="L1309">
        <v>44572</v>
      </c>
    </row>
    <row r="1310" spans="1:12" x14ac:dyDescent="0.35">
      <c r="A1310" t="s">
        <v>359</v>
      </c>
      <c r="B1310" t="s">
        <v>444</v>
      </c>
      <c r="C1310" t="s">
        <v>302</v>
      </c>
      <c r="D1310" t="s">
        <v>155</v>
      </c>
      <c r="E1310">
        <v>7</v>
      </c>
      <c r="F1310">
        <v>0.90167982346259534</v>
      </c>
      <c r="G1310">
        <v>0.45083991173129767</v>
      </c>
      <c r="H1310">
        <v>44428</v>
      </c>
    </row>
    <row r="1311" spans="1:12" x14ac:dyDescent="0.35">
      <c r="A1311" t="s">
        <v>190</v>
      </c>
      <c r="B1311" t="s">
        <v>444</v>
      </c>
      <c r="C1311" t="s">
        <v>302</v>
      </c>
      <c r="D1311" t="s">
        <v>155</v>
      </c>
      <c r="E1311">
        <v>37831</v>
      </c>
      <c r="F1311">
        <v>5511.0888877507177</v>
      </c>
      <c r="G1311">
        <v>2755.5444438753589</v>
      </c>
      <c r="H1311">
        <v>44428</v>
      </c>
      <c r="L1311">
        <v>44602</v>
      </c>
    </row>
    <row r="1312" spans="1:12" x14ac:dyDescent="0.35">
      <c r="A1312" t="s">
        <v>162</v>
      </c>
      <c r="B1312" t="s">
        <v>444</v>
      </c>
      <c r="C1312" t="s">
        <v>302</v>
      </c>
      <c r="D1312" t="s">
        <v>155</v>
      </c>
      <c r="E1312">
        <v>438</v>
      </c>
      <c r="F1312">
        <v>560.67259831504259</v>
      </c>
      <c r="G1312">
        <v>336.4035589890259</v>
      </c>
      <c r="H1312">
        <v>44428</v>
      </c>
      <c r="L1312">
        <v>44496</v>
      </c>
    </row>
    <row r="1313" spans="1:12" x14ac:dyDescent="0.35">
      <c r="A1313" t="s">
        <v>422</v>
      </c>
      <c r="B1313" t="s">
        <v>444</v>
      </c>
      <c r="C1313" t="s">
        <v>302</v>
      </c>
      <c r="D1313" t="s">
        <v>155</v>
      </c>
      <c r="E1313">
        <v>1324</v>
      </c>
      <c r="F1313">
        <v>182.26947364466523</v>
      </c>
      <c r="G1313">
        <v>109.36</v>
      </c>
      <c r="H1313">
        <v>44428</v>
      </c>
    </row>
    <row r="1314" spans="1:12" x14ac:dyDescent="0.35">
      <c r="A1314" t="s">
        <v>390</v>
      </c>
      <c r="B1314" t="s">
        <v>444</v>
      </c>
      <c r="C1314" t="s">
        <v>302</v>
      </c>
      <c r="D1314" t="s">
        <v>155</v>
      </c>
      <c r="E1314">
        <v>4006</v>
      </c>
      <c r="F1314">
        <v>769.35937210120801</v>
      </c>
      <c r="G1314">
        <v>384.679686050604</v>
      </c>
      <c r="H1314">
        <v>44428</v>
      </c>
      <c r="J1314">
        <v>44509</v>
      </c>
      <c r="K1314" t="s">
        <v>448</v>
      </c>
      <c r="L1314">
        <v>44522</v>
      </c>
    </row>
    <row r="1315" spans="1:12" x14ac:dyDescent="0.35">
      <c r="A1315" t="s">
        <v>283</v>
      </c>
      <c r="B1315" t="s">
        <v>444</v>
      </c>
      <c r="C1315" t="s">
        <v>302</v>
      </c>
      <c r="D1315" t="s">
        <v>155</v>
      </c>
      <c r="E1315">
        <v>15048</v>
      </c>
      <c r="F1315">
        <v>2446.4618647717143</v>
      </c>
      <c r="G1315">
        <v>1223.2309323858572</v>
      </c>
      <c r="H1315">
        <v>44428</v>
      </c>
      <c r="L1315">
        <v>44568</v>
      </c>
    </row>
    <row r="1316" spans="1:12" x14ac:dyDescent="0.35">
      <c r="A1316" t="s">
        <v>306</v>
      </c>
      <c r="B1316" t="s">
        <v>444</v>
      </c>
      <c r="C1316" t="s">
        <v>302</v>
      </c>
      <c r="D1316" t="s">
        <v>155</v>
      </c>
      <c r="E1316">
        <v>51690</v>
      </c>
      <c r="F1316">
        <v>6799.4536083384573</v>
      </c>
      <c r="G1316">
        <v>3399.7268041692287</v>
      </c>
      <c r="H1316">
        <v>44428</v>
      </c>
      <c r="L1316">
        <v>44568</v>
      </c>
    </row>
    <row r="1317" spans="1:12" x14ac:dyDescent="0.35">
      <c r="A1317" t="s">
        <v>441</v>
      </c>
      <c r="B1317" t="s">
        <v>444</v>
      </c>
      <c r="C1317" t="s">
        <v>302</v>
      </c>
      <c r="D1317" t="s">
        <v>155</v>
      </c>
      <c r="E1317">
        <v>16</v>
      </c>
      <c r="F1317">
        <v>6.5493974829877049</v>
      </c>
      <c r="G1317">
        <v>3.2746987414938524</v>
      </c>
      <c r="H1317">
        <v>44428</v>
      </c>
    </row>
    <row r="1318" spans="1:12" x14ac:dyDescent="0.35">
      <c r="A1318" t="s">
        <v>193</v>
      </c>
      <c r="B1318" t="s">
        <v>444</v>
      </c>
      <c r="C1318" t="s">
        <v>302</v>
      </c>
      <c r="D1318" t="s">
        <v>155</v>
      </c>
      <c r="E1318">
        <v>17</v>
      </c>
      <c r="F1318">
        <v>25.759934645049924</v>
      </c>
      <c r="G1318">
        <v>12.879967322524962</v>
      </c>
      <c r="H1318">
        <v>44428</v>
      </c>
    </row>
    <row r="1319" spans="1:12" x14ac:dyDescent="0.35">
      <c r="A1319" t="s">
        <v>186</v>
      </c>
      <c r="B1319" t="s">
        <v>444</v>
      </c>
      <c r="C1319" t="s">
        <v>302</v>
      </c>
      <c r="D1319" t="s">
        <v>155</v>
      </c>
      <c r="E1319">
        <v>2</v>
      </c>
      <c r="F1319">
        <v>0.25762280670359866</v>
      </c>
      <c r="G1319">
        <v>0.12881140335179933</v>
      </c>
      <c r="H1319">
        <v>44428</v>
      </c>
    </row>
    <row r="1320" spans="1:12" x14ac:dyDescent="0.35">
      <c r="A1320" t="s">
        <v>268</v>
      </c>
      <c r="B1320" t="s">
        <v>444</v>
      </c>
      <c r="C1320" t="s">
        <v>302</v>
      </c>
      <c r="D1320" t="s">
        <v>155</v>
      </c>
      <c r="E1320">
        <v>88</v>
      </c>
      <c r="F1320">
        <v>18.103699308608036</v>
      </c>
      <c r="G1320">
        <v>7.2414797234432138</v>
      </c>
      <c r="H1320">
        <v>44428</v>
      </c>
    </row>
    <row r="1321" spans="1:12" x14ac:dyDescent="0.35">
      <c r="A1321" t="s">
        <v>440</v>
      </c>
      <c r="B1321" t="s">
        <v>444</v>
      </c>
      <c r="C1321" t="s">
        <v>302</v>
      </c>
      <c r="D1321" t="s">
        <v>155</v>
      </c>
      <c r="E1321">
        <v>477</v>
      </c>
      <c r="F1321">
        <v>2143.5098392075956</v>
      </c>
      <c r="G1321">
        <v>1071.7549196037978</v>
      </c>
      <c r="H1321">
        <v>44428</v>
      </c>
      <c r="L1321">
        <v>44522</v>
      </c>
    </row>
    <row r="1322" spans="1:12" x14ac:dyDescent="0.35">
      <c r="A1322" t="s">
        <v>400</v>
      </c>
      <c r="B1322" t="s">
        <v>444</v>
      </c>
      <c r="C1322" t="s">
        <v>302</v>
      </c>
      <c r="D1322" t="s">
        <v>155</v>
      </c>
      <c r="E1322">
        <v>323590</v>
      </c>
      <c r="F1322">
        <v>48839.561512613865</v>
      </c>
      <c r="G1322">
        <v>31745.714983199046</v>
      </c>
      <c r="H1322">
        <v>44428</v>
      </c>
      <c r="L1322">
        <v>44623</v>
      </c>
    </row>
    <row r="1323" spans="1:12" x14ac:dyDescent="0.35">
      <c r="A1323" t="s">
        <v>450</v>
      </c>
      <c r="B1323" t="s">
        <v>451</v>
      </c>
      <c r="C1323" t="s">
        <v>302</v>
      </c>
      <c r="D1323" t="s">
        <v>155</v>
      </c>
      <c r="E1323">
        <v>16124</v>
      </c>
      <c r="F1323">
        <v>15500.613758066866</v>
      </c>
      <c r="G1323">
        <v>7750.3068790334328</v>
      </c>
      <c r="H1323">
        <v>44463</v>
      </c>
      <c r="L1323">
        <v>44550</v>
      </c>
    </row>
    <row r="1324" spans="1:12" x14ac:dyDescent="0.35">
      <c r="A1324" t="s">
        <v>452</v>
      </c>
      <c r="B1324" t="s">
        <v>453</v>
      </c>
      <c r="C1324" t="s">
        <v>302</v>
      </c>
      <c r="D1324" t="s">
        <v>155</v>
      </c>
      <c r="E1324">
        <v>12724</v>
      </c>
      <c r="F1324">
        <v>9619.3403958432718</v>
      </c>
      <c r="G1324">
        <v>4809.6701979216359</v>
      </c>
      <c r="H1324">
        <v>44463</v>
      </c>
      <c r="K1324" t="s">
        <v>454</v>
      </c>
      <c r="L1324">
        <v>44594</v>
      </c>
    </row>
    <row r="1325" spans="1:12" x14ac:dyDescent="0.35">
      <c r="A1325" t="s">
        <v>379</v>
      </c>
      <c r="B1325" t="s">
        <v>455</v>
      </c>
      <c r="C1325" t="s">
        <v>302</v>
      </c>
      <c r="D1325" t="s">
        <v>155</v>
      </c>
      <c r="E1325">
        <v>1</v>
      </c>
      <c r="F1325">
        <v>0.17450164648333766</v>
      </c>
      <c r="G1325">
        <v>8.7250823241668829E-2</v>
      </c>
      <c r="H1325">
        <v>44474</v>
      </c>
    </row>
    <row r="1326" spans="1:12" x14ac:dyDescent="0.35">
      <c r="A1326" t="s">
        <v>435</v>
      </c>
      <c r="B1326" t="s">
        <v>455</v>
      </c>
      <c r="C1326" t="s">
        <v>302</v>
      </c>
      <c r="D1326" t="s">
        <v>155</v>
      </c>
      <c r="E1326">
        <v>1036</v>
      </c>
      <c r="F1326">
        <v>746.92723741428699</v>
      </c>
      <c r="G1326">
        <v>373.4636187071435</v>
      </c>
      <c r="H1326">
        <v>44474</v>
      </c>
    </row>
    <row r="1327" spans="1:12" x14ac:dyDescent="0.35">
      <c r="A1327" t="s">
        <v>381</v>
      </c>
      <c r="B1327" t="s">
        <v>455</v>
      </c>
      <c r="C1327" t="s">
        <v>302</v>
      </c>
      <c r="D1327" t="s">
        <v>155</v>
      </c>
      <c r="E1327">
        <v>1</v>
      </c>
      <c r="F1327">
        <v>0.50891817825916741</v>
      </c>
      <c r="G1327">
        <v>0.20356727130366697</v>
      </c>
      <c r="H1327">
        <v>44474</v>
      </c>
    </row>
    <row r="1328" spans="1:12" x14ac:dyDescent="0.35">
      <c r="A1328" t="s">
        <v>428</v>
      </c>
      <c r="B1328" t="s">
        <v>455</v>
      </c>
      <c r="C1328" t="s">
        <v>302</v>
      </c>
      <c r="D1328" t="s">
        <v>155</v>
      </c>
      <c r="E1328">
        <v>4962</v>
      </c>
      <c r="F1328">
        <v>999.78628519562051</v>
      </c>
      <c r="G1328">
        <v>499.89314259781025</v>
      </c>
      <c r="H1328">
        <v>44474</v>
      </c>
    </row>
    <row r="1329" spans="1:12" x14ac:dyDescent="0.35">
      <c r="A1329" t="s">
        <v>383</v>
      </c>
      <c r="B1329" t="s">
        <v>455</v>
      </c>
      <c r="C1329" t="s">
        <v>302</v>
      </c>
      <c r="D1329" t="s">
        <v>155</v>
      </c>
      <c r="E1329">
        <v>577</v>
      </c>
      <c r="F1329">
        <v>2416.466681868224</v>
      </c>
      <c r="G1329">
        <v>966.58667274728987</v>
      </c>
      <c r="H1329">
        <v>44474</v>
      </c>
      <c r="L1329">
        <v>44610</v>
      </c>
    </row>
    <row r="1330" spans="1:12" x14ac:dyDescent="0.35">
      <c r="A1330" t="s">
        <v>357</v>
      </c>
      <c r="B1330" t="s">
        <v>455</v>
      </c>
      <c r="C1330" t="s">
        <v>302</v>
      </c>
      <c r="D1330" t="s">
        <v>155</v>
      </c>
      <c r="E1330">
        <v>11</v>
      </c>
      <c r="F1330">
        <v>41.169361054455536</v>
      </c>
      <c r="G1330">
        <v>20.584680527227768</v>
      </c>
      <c r="H1330">
        <v>44474</v>
      </c>
    </row>
    <row r="1331" spans="1:12" x14ac:dyDescent="0.35">
      <c r="A1331" t="s">
        <v>375</v>
      </c>
      <c r="B1331" t="s">
        <v>455</v>
      </c>
      <c r="C1331" t="s">
        <v>302</v>
      </c>
      <c r="D1331" t="s">
        <v>155</v>
      </c>
      <c r="E1331">
        <v>3445</v>
      </c>
      <c r="F1331">
        <v>992.00062116096137</v>
      </c>
      <c r="G1331">
        <v>496.00031058048069</v>
      </c>
      <c r="H1331">
        <v>44474</v>
      </c>
      <c r="L1331">
        <v>45133</v>
      </c>
    </row>
    <row r="1332" spans="1:12" x14ac:dyDescent="0.35">
      <c r="A1332" t="s">
        <v>405</v>
      </c>
      <c r="B1332" t="s">
        <v>455</v>
      </c>
      <c r="C1332" t="s">
        <v>302</v>
      </c>
      <c r="D1332" t="s">
        <v>155</v>
      </c>
      <c r="E1332">
        <v>14696</v>
      </c>
      <c r="F1332">
        <v>2674.7985169264289</v>
      </c>
      <c r="G1332">
        <v>1337.3992584632144</v>
      </c>
      <c r="H1332">
        <v>44474</v>
      </c>
      <c r="L1332">
        <v>45265</v>
      </c>
    </row>
    <row r="1333" spans="1:12" x14ac:dyDescent="0.35">
      <c r="A1333" t="s">
        <v>386</v>
      </c>
      <c r="B1333" t="s">
        <v>455</v>
      </c>
      <c r="C1333" t="s">
        <v>302</v>
      </c>
      <c r="D1333" t="s">
        <v>155</v>
      </c>
      <c r="E1333">
        <v>1428</v>
      </c>
      <c r="F1333">
        <v>411.99232719371213</v>
      </c>
      <c r="G1333">
        <v>205.99616359685606</v>
      </c>
      <c r="H1333">
        <v>44474</v>
      </c>
      <c r="L1333">
        <v>45106</v>
      </c>
    </row>
    <row r="1334" spans="1:12" x14ac:dyDescent="0.35">
      <c r="A1334" t="s">
        <v>438</v>
      </c>
      <c r="B1334" t="s">
        <v>455</v>
      </c>
      <c r="C1334" t="s">
        <v>302</v>
      </c>
      <c r="D1334" t="s">
        <v>155</v>
      </c>
      <c r="E1334">
        <v>30</v>
      </c>
      <c r="F1334">
        <v>12.55078594053356</v>
      </c>
      <c r="G1334">
        <v>6.2753929702667799</v>
      </c>
      <c r="H1334">
        <v>44474</v>
      </c>
    </row>
    <row r="1335" spans="1:12" x14ac:dyDescent="0.35">
      <c r="A1335" t="s">
        <v>326</v>
      </c>
      <c r="B1335" t="s">
        <v>455</v>
      </c>
      <c r="C1335" t="s">
        <v>302</v>
      </c>
      <c r="D1335" t="s">
        <v>155</v>
      </c>
      <c r="E1335">
        <v>1</v>
      </c>
      <c r="F1335">
        <v>2.8456618594550029</v>
      </c>
      <c r="G1335">
        <v>1.4228309297275015</v>
      </c>
      <c r="H1335">
        <v>44474</v>
      </c>
    </row>
    <row r="1336" spans="1:12" x14ac:dyDescent="0.35">
      <c r="A1336" t="s">
        <v>445</v>
      </c>
      <c r="B1336" t="s">
        <v>455</v>
      </c>
      <c r="C1336" t="s">
        <v>302</v>
      </c>
      <c r="D1336" t="s">
        <v>155</v>
      </c>
      <c r="E1336">
        <v>475</v>
      </c>
      <c r="F1336">
        <v>637.44705158705699</v>
      </c>
      <c r="G1336">
        <v>318.72352579352849</v>
      </c>
      <c r="H1336">
        <v>44474</v>
      </c>
    </row>
    <row r="1337" spans="1:12" x14ac:dyDescent="0.35">
      <c r="A1337" t="s">
        <v>313</v>
      </c>
      <c r="B1337" t="s">
        <v>455</v>
      </c>
      <c r="C1337" t="s">
        <v>302</v>
      </c>
      <c r="D1337" t="s">
        <v>155</v>
      </c>
      <c r="E1337">
        <v>1</v>
      </c>
      <c r="F1337">
        <v>2.8456618594550029</v>
      </c>
      <c r="G1337">
        <v>1.4228309297275015</v>
      </c>
      <c r="H1337">
        <v>44474</v>
      </c>
    </row>
    <row r="1338" spans="1:12" x14ac:dyDescent="0.35">
      <c r="A1338" t="s">
        <v>362</v>
      </c>
      <c r="B1338" t="s">
        <v>455</v>
      </c>
      <c r="C1338" t="s">
        <v>302</v>
      </c>
      <c r="D1338" t="s">
        <v>155</v>
      </c>
      <c r="E1338">
        <v>193</v>
      </c>
      <c r="F1338">
        <v>251.73039402263601</v>
      </c>
      <c r="G1338">
        <v>100.69215760905441</v>
      </c>
      <c r="H1338">
        <v>44474</v>
      </c>
    </row>
    <row r="1339" spans="1:12" x14ac:dyDescent="0.35">
      <c r="A1339" t="s">
        <v>446</v>
      </c>
      <c r="B1339" t="s">
        <v>455</v>
      </c>
      <c r="C1339" t="s">
        <v>302</v>
      </c>
      <c r="D1339" t="s">
        <v>155</v>
      </c>
      <c r="E1339">
        <v>11</v>
      </c>
      <c r="F1339">
        <v>4.5906783242883797</v>
      </c>
      <c r="G1339">
        <v>2.2953391621441899</v>
      </c>
      <c r="H1339">
        <v>44474</v>
      </c>
    </row>
    <row r="1340" spans="1:12" x14ac:dyDescent="0.35">
      <c r="A1340" t="s">
        <v>416</v>
      </c>
      <c r="B1340" t="s">
        <v>455</v>
      </c>
      <c r="C1340" t="s">
        <v>302</v>
      </c>
      <c r="D1340" t="s">
        <v>155</v>
      </c>
      <c r="E1340">
        <v>158</v>
      </c>
      <c r="F1340">
        <v>80.147993123034567</v>
      </c>
      <c r="G1340">
        <v>40.073996561517284</v>
      </c>
      <c r="H1340">
        <v>44474</v>
      </c>
    </row>
    <row r="1341" spans="1:12" x14ac:dyDescent="0.35">
      <c r="A1341" t="s">
        <v>417</v>
      </c>
      <c r="B1341" t="s">
        <v>455</v>
      </c>
      <c r="C1341" t="s">
        <v>302</v>
      </c>
      <c r="D1341" t="s">
        <v>155</v>
      </c>
      <c r="E1341">
        <v>16175</v>
      </c>
      <c r="F1341">
        <v>2896.8156520528732</v>
      </c>
      <c r="G1341">
        <v>1448.4078260264366</v>
      </c>
      <c r="H1341">
        <v>44474</v>
      </c>
    </row>
    <row r="1342" spans="1:12" x14ac:dyDescent="0.35">
      <c r="A1342" t="s">
        <v>387</v>
      </c>
      <c r="B1342" t="s">
        <v>455</v>
      </c>
      <c r="C1342" t="s">
        <v>302</v>
      </c>
      <c r="D1342" t="s">
        <v>155</v>
      </c>
      <c r="E1342">
        <v>56</v>
      </c>
      <c r="F1342">
        <v>222.29983072581905</v>
      </c>
      <c r="G1342">
        <v>133.37989843549144</v>
      </c>
      <c r="H1342">
        <v>44474</v>
      </c>
      <c r="L1342">
        <v>44580</v>
      </c>
    </row>
    <row r="1343" spans="1:12" x14ac:dyDescent="0.35">
      <c r="A1343" t="s">
        <v>329</v>
      </c>
      <c r="B1343" t="s">
        <v>455</v>
      </c>
      <c r="C1343" t="s">
        <v>302</v>
      </c>
      <c r="D1343" t="s">
        <v>155</v>
      </c>
      <c r="E1343">
        <v>26</v>
      </c>
      <c r="F1343">
        <v>47.432384530674845</v>
      </c>
      <c r="G1343">
        <v>23.716192265337423</v>
      </c>
      <c r="H1343">
        <v>44474</v>
      </c>
      <c r="L1343">
        <v>44522</v>
      </c>
    </row>
    <row r="1344" spans="1:12" x14ac:dyDescent="0.35">
      <c r="A1344" t="s">
        <v>210</v>
      </c>
      <c r="B1344" t="s">
        <v>455</v>
      </c>
      <c r="C1344" t="s">
        <v>302</v>
      </c>
      <c r="D1344" t="s">
        <v>155</v>
      </c>
      <c r="E1344">
        <v>6</v>
      </c>
      <c r="F1344">
        <v>28.914467877270617</v>
      </c>
      <c r="G1344">
        <v>8.6743403631811855</v>
      </c>
      <c r="H1344">
        <v>44474</v>
      </c>
    </row>
    <row r="1345" spans="1:12" x14ac:dyDescent="0.35">
      <c r="A1345" t="s">
        <v>401</v>
      </c>
      <c r="B1345" t="s">
        <v>455</v>
      </c>
      <c r="C1345" t="s">
        <v>302</v>
      </c>
      <c r="D1345" t="s">
        <v>155</v>
      </c>
      <c r="E1345">
        <v>12613</v>
      </c>
      <c r="F1345">
        <v>3087.9343455301832</v>
      </c>
      <c r="G1345">
        <v>1543.9671727650916</v>
      </c>
      <c r="H1345">
        <v>44474</v>
      </c>
    </row>
    <row r="1346" spans="1:12" x14ac:dyDescent="0.35">
      <c r="A1346" t="s">
        <v>447</v>
      </c>
      <c r="B1346" t="s">
        <v>455</v>
      </c>
      <c r="C1346" t="s">
        <v>302</v>
      </c>
      <c r="D1346" t="s">
        <v>155</v>
      </c>
      <c r="E1346">
        <v>8</v>
      </c>
      <c r="F1346">
        <v>18.698646476905228</v>
      </c>
      <c r="G1346">
        <v>9.3493232384526141</v>
      </c>
      <c r="H1346">
        <v>44474</v>
      </c>
    </row>
    <row r="1347" spans="1:12" x14ac:dyDescent="0.35">
      <c r="A1347" t="s">
        <v>418</v>
      </c>
      <c r="B1347" t="s">
        <v>455</v>
      </c>
      <c r="C1347" t="s">
        <v>302</v>
      </c>
      <c r="D1347" t="s">
        <v>155</v>
      </c>
      <c r="E1347">
        <v>3</v>
      </c>
      <c r="F1347">
        <v>10.510401698455109</v>
      </c>
      <c r="G1347">
        <v>5.2552008492275544</v>
      </c>
      <c r="H1347">
        <v>44474</v>
      </c>
    </row>
    <row r="1348" spans="1:12" x14ac:dyDescent="0.35">
      <c r="A1348" t="s">
        <v>425</v>
      </c>
      <c r="B1348" t="s">
        <v>455</v>
      </c>
      <c r="C1348" t="s">
        <v>302</v>
      </c>
      <c r="D1348" t="s">
        <v>155</v>
      </c>
      <c r="E1348">
        <v>2</v>
      </c>
      <c r="F1348">
        <v>5.3279961578042698</v>
      </c>
      <c r="G1348">
        <v>2.6639980789021349</v>
      </c>
      <c r="H1348">
        <v>44474</v>
      </c>
    </row>
    <row r="1349" spans="1:12" x14ac:dyDescent="0.35">
      <c r="A1349" t="s">
        <v>366</v>
      </c>
      <c r="B1349" t="s">
        <v>455</v>
      </c>
      <c r="C1349" t="s">
        <v>302</v>
      </c>
      <c r="D1349" t="s">
        <v>155</v>
      </c>
      <c r="E1349">
        <v>12</v>
      </c>
      <c r="F1349">
        <v>4.7651799707717171</v>
      </c>
      <c r="G1349">
        <v>2.3825899853858585</v>
      </c>
      <c r="H1349">
        <v>44474</v>
      </c>
      <c r="L1349">
        <v>45442</v>
      </c>
    </row>
    <row r="1350" spans="1:12" x14ac:dyDescent="0.35">
      <c r="A1350" t="s">
        <v>332</v>
      </c>
      <c r="B1350" t="s">
        <v>455</v>
      </c>
      <c r="C1350" t="s">
        <v>302</v>
      </c>
      <c r="D1350" t="s">
        <v>155</v>
      </c>
      <c r="E1350">
        <v>8</v>
      </c>
      <c r="F1350">
        <v>34.242464035074889</v>
      </c>
      <c r="G1350">
        <v>13.696985614029957</v>
      </c>
      <c r="H1350">
        <v>44474</v>
      </c>
    </row>
    <row r="1351" spans="1:12" x14ac:dyDescent="0.35">
      <c r="A1351" t="s">
        <v>314</v>
      </c>
      <c r="B1351" t="s">
        <v>455</v>
      </c>
      <c r="C1351" t="s">
        <v>302</v>
      </c>
      <c r="D1351" t="s">
        <v>155</v>
      </c>
      <c r="E1351">
        <v>71</v>
      </c>
      <c r="F1351">
        <v>273.79076756410728</v>
      </c>
      <c r="G1351">
        <v>82.137230269232191</v>
      </c>
      <c r="H1351">
        <v>44474</v>
      </c>
      <c r="J1351">
        <v>44509</v>
      </c>
      <c r="K1351" t="s">
        <v>448</v>
      </c>
      <c r="L1351">
        <v>44691</v>
      </c>
    </row>
    <row r="1352" spans="1:12" x14ac:dyDescent="0.35">
      <c r="A1352" t="s">
        <v>30</v>
      </c>
      <c r="B1352" t="s">
        <v>455</v>
      </c>
      <c r="C1352" t="s">
        <v>302</v>
      </c>
      <c r="D1352" t="s">
        <v>155</v>
      </c>
      <c r="E1352">
        <v>3046</v>
      </c>
      <c r="F1352">
        <v>3428.3375213586364</v>
      </c>
      <c r="G1352">
        <v>1714.1687606793182</v>
      </c>
      <c r="H1352">
        <v>44474</v>
      </c>
    </row>
    <row r="1353" spans="1:12" x14ac:dyDescent="0.35">
      <c r="A1353" t="s">
        <v>347</v>
      </c>
      <c r="B1353" t="s">
        <v>455</v>
      </c>
      <c r="C1353" t="s">
        <v>302</v>
      </c>
      <c r="D1353" t="s">
        <v>155</v>
      </c>
      <c r="E1353" t="s">
        <v>394</v>
      </c>
      <c r="F1353" t="s">
        <v>394</v>
      </c>
      <c r="G1353" t="s">
        <v>394</v>
      </c>
      <c r="H1353">
        <v>44474</v>
      </c>
    </row>
    <row r="1354" spans="1:12" x14ac:dyDescent="0.35">
      <c r="A1354" t="s">
        <v>420</v>
      </c>
      <c r="B1354" t="s">
        <v>455</v>
      </c>
      <c r="C1354" t="s">
        <v>302</v>
      </c>
      <c r="D1354" t="s">
        <v>155</v>
      </c>
      <c r="E1354">
        <v>4</v>
      </c>
      <c r="F1354">
        <v>5.3425829189951157</v>
      </c>
      <c r="G1354">
        <v>2.6712914594975579</v>
      </c>
      <c r="H1354">
        <v>44474</v>
      </c>
    </row>
    <row r="1355" spans="1:12" x14ac:dyDescent="0.35">
      <c r="A1355" t="s">
        <v>388</v>
      </c>
      <c r="B1355" t="s">
        <v>455</v>
      </c>
      <c r="C1355" t="s">
        <v>302</v>
      </c>
      <c r="D1355" t="s">
        <v>155</v>
      </c>
      <c r="E1355">
        <v>1557</v>
      </c>
      <c r="F1355">
        <v>6480.3282999653093</v>
      </c>
      <c r="G1355">
        <v>3240.1641499826546</v>
      </c>
      <c r="H1355">
        <v>44474</v>
      </c>
      <c r="J1355">
        <v>44509</v>
      </c>
      <c r="K1355" t="s">
        <v>449</v>
      </c>
      <c r="L1355">
        <v>44512</v>
      </c>
    </row>
    <row r="1356" spans="1:12" x14ac:dyDescent="0.35">
      <c r="A1356" t="s">
        <v>436</v>
      </c>
      <c r="B1356" t="s">
        <v>455</v>
      </c>
      <c r="C1356" t="s">
        <v>302</v>
      </c>
      <c r="D1356" t="s">
        <v>155</v>
      </c>
      <c r="E1356">
        <v>3903</v>
      </c>
      <c r="F1356">
        <v>797.19433455101125</v>
      </c>
      <c r="G1356">
        <v>398.59716727550563</v>
      </c>
      <c r="H1356">
        <v>44474</v>
      </c>
      <c r="L1356">
        <v>44572</v>
      </c>
    </row>
    <row r="1357" spans="1:12" x14ac:dyDescent="0.35">
      <c r="A1357" t="s">
        <v>359</v>
      </c>
      <c r="B1357" t="s">
        <v>455</v>
      </c>
      <c r="C1357" t="s">
        <v>302</v>
      </c>
      <c r="D1357" t="s">
        <v>155</v>
      </c>
      <c r="E1357">
        <v>1</v>
      </c>
      <c r="F1357">
        <v>0.17450164648333766</v>
      </c>
      <c r="G1357">
        <v>8.7250823241668829E-2</v>
      </c>
      <c r="H1357">
        <v>44474</v>
      </c>
    </row>
    <row r="1358" spans="1:12" x14ac:dyDescent="0.35">
      <c r="A1358" t="s">
        <v>190</v>
      </c>
      <c r="B1358" t="s">
        <v>455</v>
      </c>
      <c r="C1358" t="s">
        <v>302</v>
      </c>
      <c r="D1358" t="s">
        <v>155</v>
      </c>
      <c r="E1358">
        <v>40455</v>
      </c>
      <c r="F1358">
        <v>7551.9104807254898</v>
      </c>
      <c r="G1358">
        <v>3775.9552403627449</v>
      </c>
      <c r="H1358">
        <v>44474</v>
      </c>
      <c r="L1358">
        <v>44602</v>
      </c>
    </row>
    <row r="1359" spans="1:12" x14ac:dyDescent="0.35">
      <c r="A1359" t="s">
        <v>162</v>
      </c>
      <c r="B1359" t="s">
        <v>455</v>
      </c>
      <c r="C1359" t="s">
        <v>302</v>
      </c>
      <c r="D1359" t="s">
        <v>155</v>
      </c>
      <c r="E1359">
        <v>714</v>
      </c>
      <c r="F1359">
        <v>1501.6357805505286</v>
      </c>
      <c r="G1359">
        <v>900.98146833031694</v>
      </c>
      <c r="H1359">
        <v>44474</v>
      </c>
      <c r="L1359">
        <v>44496</v>
      </c>
    </row>
    <row r="1360" spans="1:12" x14ac:dyDescent="0.35">
      <c r="A1360" t="s">
        <v>422</v>
      </c>
      <c r="B1360" t="s">
        <v>455</v>
      </c>
      <c r="C1360" t="s">
        <v>302</v>
      </c>
      <c r="D1360" t="s">
        <v>155</v>
      </c>
      <c r="E1360">
        <v>533</v>
      </c>
      <c r="F1360">
        <v>102.2985302417425</v>
      </c>
      <c r="G1360">
        <v>61.38</v>
      </c>
      <c r="H1360">
        <v>44474</v>
      </c>
    </row>
    <row r="1361" spans="1:12" x14ac:dyDescent="0.35">
      <c r="A1361" t="s">
        <v>390</v>
      </c>
      <c r="B1361" t="s">
        <v>455</v>
      </c>
      <c r="C1361" t="s">
        <v>302</v>
      </c>
      <c r="D1361" t="s">
        <v>155</v>
      </c>
      <c r="E1361">
        <v>9771</v>
      </c>
      <c r="F1361">
        <v>1968.4098808850276</v>
      </c>
      <c r="G1361">
        <v>984.20494044251382</v>
      </c>
      <c r="H1361">
        <v>44474</v>
      </c>
      <c r="J1361">
        <v>44509</v>
      </c>
      <c r="K1361" t="s">
        <v>448</v>
      </c>
      <c r="L1361">
        <v>44522</v>
      </c>
    </row>
    <row r="1362" spans="1:12" x14ac:dyDescent="0.35">
      <c r="A1362" t="s">
        <v>283</v>
      </c>
      <c r="B1362" t="s">
        <v>455</v>
      </c>
      <c r="C1362" t="s">
        <v>302</v>
      </c>
      <c r="D1362" t="s">
        <v>155</v>
      </c>
      <c r="E1362">
        <v>13756</v>
      </c>
      <c r="F1362">
        <v>2747.0274235913321</v>
      </c>
      <c r="G1362">
        <v>1373.513711795666</v>
      </c>
      <c r="H1362">
        <v>44474</v>
      </c>
      <c r="L1362">
        <v>44568</v>
      </c>
    </row>
    <row r="1363" spans="1:12" x14ac:dyDescent="0.35">
      <c r="A1363" t="s">
        <v>306</v>
      </c>
      <c r="B1363" t="s">
        <v>455</v>
      </c>
      <c r="C1363" t="s">
        <v>302</v>
      </c>
      <c r="D1363" t="s">
        <v>155</v>
      </c>
      <c r="E1363">
        <v>38467</v>
      </c>
      <c r="F1363">
        <v>6751.6356770387365</v>
      </c>
      <c r="G1363">
        <v>3375.8178385193683</v>
      </c>
      <c r="H1363">
        <v>44474</v>
      </c>
      <c r="L1363">
        <v>44568</v>
      </c>
    </row>
    <row r="1364" spans="1:12" x14ac:dyDescent="0.35">
      <c r="A1364" t="s">
        <v>456</v>
      </c>
      <c r="B1364" t="s">
        <v>455</v>
      </c>
      <c r="C1364" t="s">
        <v>302</v>
      </c>
      <c r="D1364" t="s">
        <v>155</v>
      </c>
      <c r="E1364">
        <v>75</v>
      </c>
      <c r="F1364">
        <v>210.36124065571786</v>
      </c>
      <c r="G1364">
        <v>105.18062032785893</v>
      </c>
      <c r="H1364">
        <v>44474</v>
      </c>
    </row>
    <row r="1365" spans="1:12" x14ac:dyDescent="0.35">
      <c r="A1365" t="s">
        <v>441</v>
      </c>
      <c r="B1365" t="s">
        <v>455</v>
      </c>
      <c r="C1365" t="s">
        <v>302</v>
      </c>
      <c r="D1365" t="s">
        <v>155</v>
      </c>
      <c r="E1365">
        <v>18</v>
      </c>
      <c r="F1365">
        <v>3.1410296367000781</v>
      </c>
      <c r="G1365">
        <v>1.570514818350039</v>
      </c>
      <c r="H1365">
        <v>44474</v>
      </c>
    </row>
    <row r="1366" spans="1:12" x14ac:dyDescent="0.35">
      <c r="A1366" t="s">
        <v>193</v>
      </c>
      <c r="B1366" t="s">
        <v>455</v>
      </c>
      <c r="C1366" t="s">
        <v>302</v>
      </c>
      <c r="D1366" t="s">
        <v>155</v>
      </c>
      <c r="E1366">
        <v>69</v>
      </c>
      <c r="F1366">
        <v>12.709446670901956</v>
      </c>
      <c r="G1366">
        <v>6.354723335450978</v>
      </c>
      <c r="H1366">
        <v>44474</v>
      </c>
    </row>
    <row r="1367" spans="1:12" x14ac:dyDescent="0.35">
      <c r="A1367" t="s">
        <v>186</v>
      </c>
      <c r="B1367" t="s">
        <v>455</v>
      </c>
      <c r="C1367" t="s">
        <v>302</v>
      </c>
      <c r="D1367" t="s">
        <v>155</v>
      </c>
      <c r="E1367">
        <v>2</v>
      </c>
      <c r="F1367">
        <v>0.34900329296667532</v>
      </c>
      <c r="G1367">
        <v>0.17450164648333766</v>
      </c>
      <c r="H1367">
        <v>44474</v>
      </c>
    </row>
    <row r="1368" spans="1:12" x14ac:dyDescent="0.35">
      <c r="A1368" t="s">
        <v>268</v>
      </c>
      <c r="B1368" t="s">
        <v>455</v>
      </c>
      <c r="C1368" t="s">
        <v>302</v>
      </c>
      <c r="D1368" t="s">
        <v>155</v>
      </c>
      <c r="E1368">
        <v>56</v>
      </c>
      <c r="F1368">
        <v>57.035415785120719</v>
      </c>
      <c r="G1368">
        <v>22.81416631404829</v>
      </c>
      <c r="H1368">
        <v>44474</v>
      </c>
    </row>
    <row r="1369" spans="1:12" x14ac:dyDescent="0.35">
      <c r="A1369" t="s">
        <v>440</v>
      </c>
      <c r="B1369" t="s">
        <v>455</v>
      </c>
      <c r="C1369" t="s">
        <v>302</v>
      </c>
      <c r="D1369" t="s">
        <v>155</v>
      </c>
      <c r="E1369">
        <v>413</v>
      </c>
      <c r="F1369">
        <v>1727.4587065818582</v>
      </c>
      <c r="G1369">
        <v>863.72935329092911</v>
      </c>
      <c r="H1369">
        <v>44474</v>
      </c>
      <c r="L1369">
        <v>44522</v>
      </c>
    </row>
    <row r="1370" spans="1:12" x14ac:dyDescent="0.35">
      <c r="A1370" t="s">
        <v>400</v>
      </c>
      <c r="B1370" t="s">
        <v>455</v>
      </c>
      <c r="C1370" t="s">
        <v>302</v>
      </c>
      <c r="D1370" t="s">
        <v>155</v>
      </c>
      <c r="E1370">
        <v>291543</v>
      </c>
      <c r="F1370">
        <v>53117.511286829395</v>
      </c>
      <c r="G1370">
        <v>34526.382336439106</v>
      </c>
      <c r="H1370">
        <v>44474</v>
      </c>
      <c r="L1370">
        <v>44623</v>
      </c>
    </row>
    <row r="1371" spans="1:12" x14ac:dyDescent="0.35">
      <c r="A1371" t="s">
        <v>457</v>
      </c>
      <c r="B1371" t="s">
        <v>453</v>
      </c>
      <c r="C1371" t="s">
        <v>302</v>
      </c>
      <c r="D1371" t="s">
        <v>155</v>
      </c>
      <c r="E1371">
        <v>406450</v>
      </c>
      <c r="F1371">
        <v>57984.594390899234</v>
      </c>
      <c r="G1371">
        <v>28992.297195449617</v>
      </c>
      <c r="H1371">
        <v>44509</v>
      </c>
      <c r="L1371">
        <v>44719</v>
      </c>
    </row>
    <row r="1372" spans="1:12" x14ac:dyDescent="0.35">
      <c r="A1372" t="s">
        <v>458</v>
      </c>
      <c r="B1372" t="s">
        <v>455</v>
      </c>
      <c r="C1372" t="s">
        <v>302</v>
      </c>
      <c r="D1372" t="s">
        <v>155</v>
      </c>
      <c r="E1372">
        <v>583</v>
      </c>
      <c r="F1372">
        <v>232.35276698895836</v>
      </c>
      <c r="G1372">
        <v>116.17638349447918</v>
      </c>
      <c r="H1372">
        <v>44524</v>
      </c>
    </row>
    <row r="1373" spans="1:12" x14ac:dyDescent="0.35">
      <c r="A1373" t="s">
        <v>459</v>
      </c>
      <c r="B1373" t="s">
        <v>455</v>
      </c>
      <c r="C1373" t="s">
        <v>302</v>
      </c>
      <c r="D1373" t="s">
        <v>155</v>
      </c>
      <c r="E1373">
        <v>44211</v>
      </c>
      <c r="F1373">
        <v>30720.998140258107</v>
      </c>
      <c r="G1373">
        <v>15360.499070129054</v>
      </c>
      <c r="H1373">
        <v>44524</v>
      </c>
      <c r="L1373">
        <v>44550</v>
      </c>
    </row>
    <row r="1374" spans="1:12" x14ac:dyDescent="0.35">
      <c r="A1374" t="s">
        <v>379</v>
      </c>
      <c r="B1374" t="s">
        <v>460</v>
      </c>
      <c r="C1374" t="s">
        <v>302</v>
      </c>
      <c r="D1374" t="s">
        <v>155</v>
      </c>
      <c r="E1374">
        <v>1</v>
      </c>
      <c r="F1374">
        <v>0.47536261079774372</v>
      </c>
      <c r="G1374">
        <v>0.23768130539887186</v>
      </c>
      <c r="H1374">
        <v>44519</v>
      </c>
    </row>
    <row r="1375" spans="1:12" x14ac:dyDescent="0.35">
      <c r="A1375" t="s">
        <v>435</v>
      </c>
      <c r="B1375" t="s">
        <v>460</v>
      </c>
      <c r="C1375" t="s">
        <v>302</v>
      </c>
      <c r="D1375" t="s">
        <v>155</v>
      </c>
      <c r="E1375">
        <v>1023</v>
      </c>
      <c r="F1375">
        <v>1114.4779586968011</v>
      </c>
      <c r="G1375">
        <v>557.23897934840056</v>
      </c>
      <c r="H1375">
        <v>44519</v>
      </c>
    </row>
    <row r="1376" spans="1:12" x14ac:dyDescent="0.35">
      <c r="A1376" t="s">
        <v>428</v>
      </c>
      <c r="B1376" t="s">
        <v>460</v>
      </c>
      <c r="C1376" t="s">
        <v>302</v>
      </c>
      <c r="D1376" t="s">
        <v>155</v>
      </c>
      <c r="E1376">
        <v>4448</v>
      </c>
      <c r="F1376">
        <v>890.19714300277144</v>
      </c>
      <c r="G1376">
        <v>445.09857150138572</v>
      </c>
      <c r="H1376">
        <v>44519</v>
      </c>
    </row>
    <row r="1377" spans="1:12" x14ac:dyDescent="0.35">
      <c r="A1377" t="s">
        <v>383</v>
      </c>
      <c r="B1377" t="s">
        <v>460</v>
      </c>
      <c r="C1377" t="s">
        <v>302</v>
      </c>
      <c r="D1377" t="s">
        <v>155</v>
      </c>
      <c r="E1377">
        <v>902</v>
      </c>
      <c r="F1377">
        <v>3131.6981622842241</v>
      </c>
      <c r="G1377">
        <v>1252.6792649136898</v>
      </c>
      <c r="H1377">
        <v>44519</v>
      </c>
      <c r="L1377">
        <v>44610</v>
      </c>
    </row>
    <row r="1378" spans="1:12" x14ac:dyDescent="0.35">
      <c r="A1378" t="s">
        <v>357</v>
      </c>
      <c r="B1378" t="s">
        <v>460</v>
      </c>
      <c r="C1378" t="s">
        <v>302</v>
      </c>
      <c r="D1378" t="s">
        <v>155</v>
      </c>
      <c r="E1378">
        <v>27</v>
      </c>
      <c r="F1378">
        <v>82.654753960161159</v>
      </c>
      <c r="G1378">
        <v>41.327376980080579</v>
      </c>
      <c r="H1378">
        <v>44519</v>
      </c>
    </row>
    <row r="1379" spans="1:12" x14ac:dyDescent="0.35">
      <c r="A1379" t="s">
        <v>375</v>
      </c>
      <c r="B1379" t="s">
        <v>460</v>
      </c>
      <c r="C1379" t="s">
        <v>302</v>
      </c>
      <c r="D1379" t="s">
        <v>155</v>
      </c>
      <c r="E1379">
        <v>395</v>
      </c>
      <c r="F1379">
        <v>904.68375011433409</v>
      </c>
      <c r="G1379">
        <v>452.34187505716704</v>
      </c>
      <c r="H1379">
        <v>44519</v>
      </c>
      <c r="L1379">
        <v>45133</v>
      </c>
    </row>
    <row r="1380" spans="1:12" x14ac:dyDescent="0.35">
      <c r="A1380" t="s">
        <v>405</v>
      </c>
      <c r="B1380" t="s">
        <v>460</v>
      </c>
      <c r="C1380" t="s">
        <v>302</v>
      </c>
      <c r="D1380" t="s">
        <v>155</v>
      </c>
      <c r="E1380">
        <v>12104</v>
      </c>
      <c r="F1380">
        <v>2358.0395213899819</v>
      </c>
      <c r="G1380">
        <v>1179.019760694991</v>
      </c>
      <c r="H1380">
        <v>44519</v>
      </c>
      <c r="L1380">
        <v>45265</v>
      </c>
    </row>
    <row r="1381" spans="1:12" x14ac:dyDescent="0.35">
      <c r="A1381" t="s">
        <v>386</v>
      </c>
      <c r="B1381" t="s">
        <v>460</v>
      </c>
      <c r="C1381" t="s">
        <v>302</v>
      </c>
      <c r="D1381" t="s">
        <v>155</v>
      </c>
      <c r="E1381">
        <v>1307</v>
      </c>
      <c r="F1381">
        <v>594.09352736062328</v>
      </c>
      <c r="G1381">
        <v>297.04676368031164</v>
      </c>
      <c r="H1381">
        <v>44519</v>
      </c>
      <c r="K1381">
        <v>17689</v>
      </c>
      <c r="L1381">
        <v>8845.6</v>
      </c>
    </row>
    <row r="1382" spans="1:12" x14ac:dyDescent="0.35">
      <c r="A1382" t="s">
        <v>438</v>
      </c>
      <c r="B1382" t="s">
        <v>460</v>
      </c>
      <c r="C1382" t="s">
        <v>302</v>
      </c>
      <c r="D1382" t="s">
        <v>155</v>
      </c>
      <c r="E1382">
        <v>15</v>
      </c>
      <c r="F1382">
        <v>33.970581017040921</v>
      </c>
      <c r="G1382">
        <v>16.98529050852046</v>
      </c>
      <c r="H1382">
        <v>44519</v>
      </c>
    </row>
    <row r="1383" spans="1:12" x14ac:dyDescent="0.35">
      <c r="A1383" t="s">
        <v>326</v>
      </c>
      <c r="B1383" t="s">
        <v>460</v>
      </c>
      <c r="C1383" t="s">
        <v>302</v>
      </c>
      <c r="D1383" t="s">
        <v>155</v>
      </c>
      <c r="E1383">
        <v>6</v>
      </c>
      <c r="F1383">
        <v>4.4966268482391181</v>
      </c>
      <c r="G1383">
        <v>2.248313424119559</v>
      </c>
      <c r="H1383">
        <v>44519</v>
      </c>
    </row>
    <row r="1384" spans="1:12" x14ac:dyDescent="0.35">
      <c r="A1384" t="s">
        <v>445</v>
      </c>
      <c r="B1384" t="s">
        <v>460</v>
      </c>
      <c r="C1384" t="s">
        <v>302</v>
      </c>
      <c r="D1384" t="s">
        <v>155</v>
      </c>
      <c r="E1384">
        <v>225</v>
      </c>
      <c r="F1384">
        <v>647.55785172235949</v>
      </c>
      <c r="G1384">
        <v>323.77892586117974</v>
      </c>
      <c r="H1384">
        <v>44519</v>
      </c>
    </row>
    <row r="1385" spans="1:12" x14ac:dyDescent="0.35">
      <c r="A1385" t="s">
        <v>313</v>
      </c>
      <c r="B1385" t="s">
        <v>460</v>
      </c>
      <c r="C1385" t="s">
        <v>302</v>
      </c>
      <c r="D1385" t="s">
        <v>155</v>
      </c>
      <c r="E1385">
        <v>1</v>
      </c>
      <c r="F1385">
        <v>1.7342016624314207</v>
      </c>
      <c r="G1385">
        <v>0.86710083121571035</v>
      </c>
      <c r="H1385">
        <v>44519</v>
      </c>
    </row>
    <row r="1386" spans="1:12" x14ac:dyDescent="0.35">
      <c r="A1386" t="s">
        <v>459</v>
      </c>
      <c r="B1386" t="s">
        <v>460</v>
      </c>
      <c r="C1386" t="s">
        <v>302</v>
      </c>
      <c r="D1386" t="s">
        <v>155</v>
      </c>
      <c r="E1386">
        <v>107845</v>
      </c>
      <c r="F1386">
        <v>23234.575474223897</v>
      </c>
      <c r="G1386">
        <v>11617.287737111948</v>
      </c>
      <c r="H1386">
        <v>44519</v>
      </c>
      <c r="L1386">
        <v>44568</v>
      </c>
    </row>
    <row r="1387" spans="1:12" x14ac:dyDescent="0.35">
      <c r="A1387" t="s">
        <v>362</v>
      </c>
      <c r="B1387" t="s">
        <v>460</v>
      </c>
      <c r="C1387" t="s">
        <v>302</v>
      </c>
      <c r="D1387" t="s">
        <v>155</v>
      </c>
      <c r="E1387">
        <v>260</v>
      </c>
      <c r="F1387">
        <v>395.23316874944106</v>
      </c>
      <c r="G1387">
        <v>158.09326749977643</v>
      </c>
      <c r="H1387">
        <v>44519</v>
      </c>
    </row>
    <row r="1388" spans="1:12" x14ac:dyDescent="0.35">
      <c r="A1388" t="s">
        <v>446</v>
      </c>
      <c r="B1388" t="s">
        <v>460</v>
      </c>
      <c r="C1388" t="s">
        <v>302</v>
      </c>
      <c r="D1388" t="s">
        <v>155</v>
      </c>
      <c r="E1388">
        <v>32</v>
      </c>
      <c r="F1388">
        <v>19.766639269348023</v>
      </c>
      <c r="G1388">
        <v>9.8833196346740113</v>
      </c>
      <c r="H1388">
        <v>44519</v>
      </c>
    </row>
    <row r="1389" spans="1:12" x14ac:dyDescent="0.35">
      <c r="A1389" t="s">
        <v>416</v>
      </c>
      <c r="B1389" t="s">
        <v>460</v>
      </c>
      <c r="C1389" t="s">
        <v>302</v>
      </c>
      <c r="D1389" t="s">
        <v>155</v>
      </c>
      <c r="E1389">
        <v>277</v>
      </c>
      <c r="F1389">
        <v>246.76979244546783</v>
      </c>
      <c r="G1389">
        <v>123.38489622273391</v>
      </c>
      <c r="H1389">
        <v>44519</v>
      </c>
    </row>
    <row r="1390" spans="1:12" x14ac:dyDescent="0.35">
      <c r="A1390" t="s">
        <v>417</v>
      </c>
      <c r="B1390" t="s">
        <v>460</v>
      </c>
      <c r="C1390" t="s">
        <v>302</v>
      </c>
      <c r="D1390" t="s">
        <v>155</v>
      </c>
      <c r="E1390">
        <v>17508</v>
      </c>
      <c r="F1390">
        <v>3302.4724588089448</v>
      </c>
      <c r="G1390">
        <v>1651.2362294044724</v>
      </c>
      <c r="H1390">
        <v>44519</v>
      </c>
    </row>
    <row r="1391" spans="1:12" x14ac:dyDescent="0.35">
      <c r="A1391" t="s">
        <v>387</v>
      </c>
      <c r="B1391" t="s">
        <v>460</v>
      </c>
      <c r="C1391" t="s">
        <v>302</v>
      </c>
      <c r="D1391" t="s">
        <v>155</v>
      </c>
      <c r="E1391">
        <v>66</v>
      </c>
      <c r="F1391">
        <v>191.33042876466504</v>
      </c>
      <c r="G1391">
        <v>114.79825725879901</v>
      </c>
      <c r="H1391">
        <v>44519</v>
      </c>
      <c r="L1391">
        <v>44580</v>
      </c>
    </row>
    <row r="1392" spans="1:12" x14ac:dyDescent="0.35">
      <c r="A1392" t="s">
        <v>329</v>
      </c>
      <c r="B1392" t="s">
        <v>460</v>
      </c>
      <c r="C1392" t="s">
        <v>302</v>
      </c>
      <c r="D1392" t="s">
        <v>155</v>
      </c>
      <c r="E1392">
        <v>24</v>
      </c>
      <c r="F1392">
        <v>70.302804259385695</v>
      </c>
      <c r="G1392">
        <v>35.151402129692848</v>
      </c>
      <c r="H1392">
        <v>44519</v>
      </c>
    </row>
    <row r="1393" spans="1:12" x14ac:dyDescent="0.35">
      <c r="A1393" t="s">
        <v>210</v>
      </c>
      <c r="B1393" t="s">
        <v>460</v>
      </c>
      <c r="C1393" t="s">
        <v>302</v>
      </c>
      <c r="D1393" t="s">
        <v>155</v>
      </c>
      <c r="E1393">
        <v>26</v>
      </c>
      <c r="F1393">
        <v>88.29927409334752</v>
      </c>
      <c r="G1393">
        <v>26.489782228004259</v>
      </c>
      <c r="H1393">
        <v>44519</v>
      </c>
    </row>
    <row r="1394" spans="1:12" x14ac:dyDescent="0.35">
      <c r="A1394" t="s">
        <v>401</v>
      </c>
      <c r="B1394" t="s">
        <v>460</v>
      </c>
      <c r="C1394" t="s">
        <v>302</v>
      </c>
      <c r="D1394" t="s">
        <v>155</v>
      </c>
      <c r="E1394">
        <v>11776</v>
      </c>
      <c r="F1394">
        <v>2924.1059107134106</v>
      </c>
      <c r="G1394">
        <v>1462.0529553567053</v>
      </c>
      <c r="H1394">
        <v>44519</v>
      </c>
    </row>
    <row r="1395" spans="1:12" x14ac:dyDescent="0.35">
      <c r="A1395" t="s">
        <v>458</v>
      </c>
      <c r="B1395" t="s">
        <v>460</v>
      </c>
      <c r="C1395" t="s">
        <v>302</v>
      </c>
      <c r="D1395" t="s">
        <v>155</v>
      </c>
      <c r="E1395">
        <v>69</v>
      </c>
      <c r="F1395">
        <v>23.117893140689016</v>
      </c>
      <c r="G1395">
        <v>11.558946570344508</v>
      </c>
      <c r="H1395">
        <v>44519</v>
      </c>
    </row>
    <row r="1396" spans="1:12" x14ac:dyDescent="0.35">
      <c r="A1396" t="s">
        <v>447</v>
      </c>
      <c r="B1396" t="s">
        <v>460</v>
      </c>
      <c r="C1396" t="s">
        <v>302</v>
      </c>
      <c r="D1396" t="s">
        <v>155</v>
      </c>
      <c r="E1396">
        <v>11</v>
      </c>
      <c r="F1396">
        <v>27.481085056935854</v>
      </c>
      <c r="G1396">
        <v>13.740542528467927</v>
      </c>
      <c r="H1396">
        <v>44519</v>
      </c>
    </row>
    <row r="1397" spans="1:12" x14ac:dyDescent="0.35">
      <c r="A1397" t="s">
        <v>418</v>
      </c>
      <c r="B1397" t="s">
        <v>460</v>
      </c>
      <c r="C1397" t="s">
        <v>302</v>
      </c>
      <c r="D1397" t="s">
        <v>155</v>
      </c>
      <c r="E1397">
        <v>14</v>
      </c>
      <c r="F1397">
        <v>41.594249066917939</v>
      </c>
      <c r="G1397">
        <v>20.79712453345897</v>
      </c>
      <c r="H1397">
        <v>44519</v>
      </c>
    </row>
    <row r="1398" spans="1:12" x14ac:dyDescent="0.35">
      <c r="A1398" t="s">
        <v>425</v>
      </c>
      <c r="B1398" t="s">
        <v>460</v>
      </c>
      <c r="C1398" t="s">
        <v>302</v>
      </c>
      <c r="D1398" t="s">
        <v>155</v>
      </c>
      <c r="E1398">
        <v>3</v>
      </c>
      <c r="F1398">
        <v>10.954953063961284</v>
      </c>
      <c r="G1398">
        <v>5.477476531980642</v>
      </c>
      <c r="H1398">
        <v>44519</v>
      </c>
    </row>
    <row r="1399" spans="1:12" x14ac:dyDescent="0.35">
      <c r="A1399" t="s">
        <v>366</v>
      </c>
      <c r="B1399" t="s">
        <v>460</v>
      </c>
      <c r="C1399" t="s">
        <v>302</v>
      </c>
      <c r="D1399" t="s">
        <v>155</v>
      </c>
      <c r="E1399">
        <v>6</v>
      </c>
      <c r="F1399">
        <v>1.1057218251570666</v>
      </c>
      <c r="G1399">
        <v>0.55286091257853331</v>
      </c>
      <c r="H1399">
        <v>44519</v>
      </c>
      <c r="L1399">
        <v>45442</v>
      </c>
    </row>
    <row r="1400" spans="1:12" x14ac:dyDescent="0.35">
      <c r="A1400" t="s">
        <v>332</v>
      </c>
      <c r="B1400" t="s">
        <v>460</v>
      </c>
      <c r="C1400" t="s">
        <v>302</v>
      </c>
      <c r="D1400" t="s">
        <v>155</v>
      </c>
      <c r="E1400">
        <v>7</v>
      </c>
      <c r="F1400">
        <v>18.626829048321163</v>
      </c>
      <c r="G1400">
        <v>7.4507316193284661</v>
      </c>
      <c r="H1400">
        <v>44519</v>
      </c>
    </row>
    <row r="1401" spans="1:12" x14ac:dyDescent="0.35">
      <c r="A1401" t="s">
        <v>314</v>
      </c>
      <c r="B1401" t="s">
        <v>460</v>
      </c>
      <c r="C1401" t="s">
        <v>302</v>
      </c>
      <c r="D1401" t="s">
        <v>155</v>
      </c>
      <c r="E1401">
        <v>102</v>
      </c>
      <c r="F1401">
        <v>313.29383823471147</v>
      </c>
      <c r="G1401">
        <v>93.988151470413442</v>
      </c>
      <c r="H1401">
        <v>44519</v>
      </c>
      <c r="J1401">
        <v>44564</v>
      </c>
      <c r="K1401" t="s">
        <v>461</v>
      </c>
      <c r="L1401">
        <v>44691</v>
      </c>
    </row>
    <row r="1402" spans="1:12" x14ac:dyDescent="0.35">
      <c r="A1402" t="s">
        <v>30</v>
      </c>
      <c r="B1402" t="s">
        <v>460</v>
      </c>
      <c r="C1402" t="s">
        <v>302</v>
      </c>
      <c r="D1402" t="s">
        <v>155</v>
      </c>
      <c r="E1402">
        <v>2621</v>
      </c>
      <c r="F1402">
        <v>2669.4834129231176</v>
      </c>
      <c r="G1402">
        <v>1334.7417064615588</v>
      </c>
      <c r="H1402">
        <v>44519</v>
      </c>
    </row>
    <row r="1403" spans="1:12" x14ac:dyDescent="0.35">
      <c r="A1403" t="s">
        <v>347</v>
      </c>
      <c r="B1403" t="s">
        <v>460</v>
      </c>
      <c r="C1403" t="s">
        <v>302</v>
      </c>
      <c r="D1403" t="s">
        <v>155</v>
      </c>
      <c r="E1403">
        <v>6</v>
      </c>
      <c r="F1403">
        <v>1.1057218251570666</v>
      </c>
      <c r="G1403">
        <v>0.33171654754711999</v>
      </c>
      <c r="H1403">
        <v>44519</v>
      </c>
    </row>
    <row r="1404" spans="1:12" x14ac:dyDescent="0.35">
      <c r="A1404" t="s">
        <v>420</v>
      </c>
      <c r="B1404" t="s">
        <v>460</v>
      </c>
      <c r="C1404" t="s">
        <v>302</v>
      </c>
      <c r="D1404" t="s">
        <v>155</v>
      </c>
      <c r="E1404">
        <v>5</v>
      </c>
      <c r="F1404">
        <v>7.8561629552193901</v>
      </c>
      <c r="G1404">
        <v>3.9280814776096951</v>
      </c>
      <c r="H1404">
        <v>44519</v>
      </c>
    </row>
    <row r="1405" spans="1:12" x14ac:dyDescent="0.35">
      <c r="A1405" t="s">
        <v>388</v>
      </c>
      <c r="B1405" t="s">
        <v>460</v>
      </c>
      <c r="C1405" t="s">
        <v>302</v>
      </c>
      <c r="D1405" t="s">
        <v>155</v>
      </c>
      <c r="E1405">
        <v>1449</v>
      </c>
      <c r="F1405">
        <v>4732.1316327467712</v>
      </c>
      <c r="G1405">
        <v>2366.0658163733856</v>
      </c>
      <c r="H1405">
        <v>44519</v>
      </c>
      <c r="J1405">
        <v>44564</v>
      </c>
      <c r="K1405" t="s">
        <v>454</v>
      </c>
      <c r="L1405">
        <v>44642</v>
      </c>
    </row>
    <row r="1406" spans="1:12" x14ac:dyDescent="0.35">
      <c r="A1406" t="s">
        <v>436</v>
      </c>
      <c r="B1406" t="s">
        <v>460</v>
      </c>
      <c r="C1406" t="s">
        <v>302</v>
      </c>
      <c r="D1406" t="s">
        <v>155</v>
      </c>
      <c r="E1406">
        <v>1962</v>
      </c>
      <c r="F1406">
        <v>690.97062162014788</v>
      </c>
      <c r="G1406">
        <v>345.48531081007394</v>
      </c>
      <c r="H1406">
        <v>44519</v>
      </c>
      <c r="L1406">
        <v>44572</v>
      </c>
    </row>
    <row r="1407" spans="1:12" x14ac:dyDescent="0.35">
      <c r="A1407" t="s">
        <v>359</v>
      </c>
      <c r="B1407" t="s">
        <v>460</v>
      </c>
      <c r="C1407" t="s">
        <v>302</v>
      </c>
      <c r="D1407" t="s">
        <v>155</v>
      </c>
      <c r="E1407">
        <v>7</v>
      </c>
      <c r="F1407">
        <v>8.2247368969384116</v>
      </c>
      <c r="G1407">
        <v>4.1123684484692058</v>
      </c>
      <c r="H1407">
        <v>44519</v>
      </c>
    </row>
    <row r="1408" spans="1:12" x14ac:dyDescent="0.35">
      <c r="A1408" t="s">
        <v>213</v>
      </c>
      <c r="B1408" t="s">
        <v>460</v>
      </c>
      <c r="C1408" t="s">
        <v>302</v>
      </c>
      <c r="D1408" t="s">
        <v>155</v>
      </c>
      <c r="E1408">
        <v>2</v>
      </c>
      <c r="F1408">
        <v>7.3033020426408566</v>
      </c>
      <c r="G1408">
        <v>2.1909906127922567</v>
      </c>
      <c r="H1408">
        <v>44519</v>
      </c>
    </row>
    <row r="1409" spans="1:12" x14ac:dyDescent="0.35">
      <c r="A1409" t="s">
        <v>190</v>
      </c>
      <c r="B1409" t="s">
        <v>460</v>
      </c>
      <c r="C1409" t="s">
        <v>302</v>
      </c>
      <c r="D1409" t="s">
        <v>155</v>
      </c>
      <c r="E1409">
        <v>115627</v>
      </c>
      <c r="F1409">
        <v>21628.569609213788</v>
      </c>
      <c r="G1409">
        <v>10814.284804606894</v>
      </c>
      <c r="H1409">
        <v>44519</v>
      </c>
      <c r="L1409">
        <v>44602</v>
      </c>
    </row>
    <row r="1410" spans="1:12" x14ac:dyDescent="0.35">
      <c r="A1410" t="s">
        <v>162</v>
      </c>
      <c r="B1410" t="s">
        <v>460</v>
      </c>
      <c r="C1410" t="s">
        <v>302</v>
      </c>
      <c r="D1410" t="s">
        <v>155</v>
      </c>
      <c r="E1410">
        <v>1859</v>
      </c>
      <c r="F1410">
        <v>4351.8760836781403</v>
      </c>
      <c r="G1410">
        <v>2611.1256502068827</v>
      </c>
      <c r="H1410">
        <v>44519</v>
      </c>
      <c r="L1410">
        <v>44736</v>
      </c>
    </row>
    <row r="1411" spans="1:12" x14ac:dyDescent="0.35">
      <c r="A1411" t="s">
        <v>452</v>
      </c>
      <c r="B1411" t="s">
        <v>460</v>
      </c>
      <c r="C1411" t="s">
        <v>302</v>
      </c>
      <c r="D1411" t="s">
        <v>155</v>
      </c>
      <c r="E1411">
        <v>2898</v>
      </c>
      <c r="F1411">
        <v>3799.4778671498889</v>
      </c>
      <c r="G1411">
        <v>1899.7389335749444</v>
      </c>
      <c r="H1411">
        <v>44519</v>
      </c>
      <c r="J1411">
        <v>44564</v>
      </c>
      <c r="K1411" t="s">
        <v>454</v>
      </c>
      <c r="L1411">
        <v>44594</v>
      </c>
    </row>
    <row r="1412" spans="1:12" x14ac:dyDescent="0.35">
      <c r="A1412" t="s">
        <v>422</v>
      </c>
      <c r="B1412" t="s">
        <v>460</v>
      </c>
      <c r="C1412" t="s">
        <v>302</v>
      </c>
      <c r="D1412" t="s">
        <v>155</v>
      </c>
      <c r="E1412">
        <v>611</v>
      </c>
      <c r="F1412">
        <v>112.59933919516128</v>
      </c>
      <c r="G1412">
        <v>67.56</v>
      </c>
      <c r="H1412">
        <v>44519</v>
      </c>
    </row>
    <row r="1413" spans="1:12" x14ac:dyDescent="0.35">
      <c r="A1413" t="s">
        <v>457</v>
      </c>
      <c r="B1413" t="s">
        <v>460</v>
      </c>
      <c r="C1413" t="s">
        <v>302</v>
      </c>
      <c r="D1413" t="s">
        <v>155</v>
      </c>
      <c r="E1413">
        <v>197980</v>
      </c>
      <c r="F1413">
        <v>36967.595659552848</v>
      </c>
      <c r="G1413">
        <v>18483.797829776424</v>
      </c>
      <c r="H1413">
        <v>44519</v>
      </c>
      <c r="L1413">
        <v>44719</v>
      </c>
    </row>
    <row r="1414" spans="1:12" x14ac:dyDescent="0.35">
      <c r="A1414" t="s">
        <v>390</v>
      </c>
      <c r="B1414" t="s">
        <v>460</v>
      </c>
      <c r="C1414" t="s">
        <v>302</v>
      </c>
      <c r="D1414" t="s">
        <v>155</v>
      </c>
      <c r="E1414">
        <v>2776</v>
      </c>
      <c r="F1414">
        <v>745.98281108306242</v>
      </c>
      <c r="G1414">
        <v>372.99140554153121</v>
      </c>
      <c r="H1414">
        <v>44519</v>
      </c>
      <c r="J1414">
        <v>44564</v>
      </c>
      <c r="K1414" t="s">
        <v>461</v>
      </c>
      <c r="L1414">
        <v>45055</v>
      </c>
    </row>
    <row r="1415" spans="1:12" x14ac:dyDescent="0.35">
      <c r="A1415" t="s">
        <v>450</v>
      </c>
      <c r="B1415" t="s">
        <v>460</v>
      </c>
      <c r="C1415" t="s">
        <v>302</v>
      </c>
      <c r="D1415" t="s">
        <v>155</v>
      </c>
      <c r="E1415">
        <v>3161</v>
      </c>
      <c r="F1415">
        <v>899.98001718351384</v>
      </c>
      <c r="G1415">
        <v>449.99000859175692</v>
      </c>
      <c r="H1415">
        <v>44519</v>
      </c>
      <c r="L1415">
        <v>44599</v>
      </c>
    </row>
    <row r="1416" spans="1:12" x14ac:dyDescent="0.35">
      <c r="A1416" t="s">
        <v>283</v>
      </c>
      <c r="B1416" t="s">
        <v>460</v>
      </c>
      <c r="C1416" t="s">
        <v>302</v>
      </c>
      <c r="D1416" t="s">
        <v>155</v>
      </c>
      <c r="E1416">
        <v>18732</v>
      </c>
      <c r="F1416">
        <v>3847.4350606171311</v>
      </c>
      <c r="G1416">
        <v>1923.7175303085655</v>
      </c>
      <c r="H1416">
        <v>44519</v>
      </c>
      <c r="L1416">
        <v>44568</v>
      </c>
    </row>
    <row r="1417" spans="1:12" x14ac:dyDescent="0.35">
      <c r="A1417" t="s">
        <v>306</v>
      </c>
      <c r="B1417" t="s">
        <v>460</v>
      </c>
      <c r="C1417" t="s">
        <v>302</v>
      </c>
      <c r="D1417" t="s">
        <v>155</v>
      </c>
      <c r="E1417">
        <v>34143</v>
      </c>
      <c r="F1417">
        <v>6334.8384358128369</v>
      </c>
      <c r="G1417">
        <v>3167.4192179064185</v>
      </c>
      <c r="H1417">
        <v>44519</v>
      </c>
      <c r="L1417">
        <v>44568</v>
      </c>
    </row>
    <row r="1418" spans="1:12" x14ac:dyDescent="0.35">
      <c r="A1418" t="s">
        <v>456</v>
      </c>
      <c r="B1418" t="s">
        <v>460</v>
      </c>
      <c r="C1418" t="s">
        <v>302</v>
      </c>
      <c r="D1418" t="s">
        <v>155</v>
      </c>
      <c r="E1418">
        <v>44</v>
      </c>
      <c r="F1418">
        <v>90.502392092214862</v>
      </c>
      <c r="G1418">
        <v>45.251196046107431</v>
      </c>
      <c r="H1418">
        <v>44519</v>
      </c>
    </row>
    <row r="1419" spans="1:12" x14ac:dyDescent="0.35">
      <c r="A1419" t="s">
        <v>441</v>
      </c>
      <c r="B1419" t="s">
        <v>460</v>
      </c>
      <c r="C1419" t="s">
        <v>302</v>
      </c>
      <c r="D1419" t="s">
        <v>155</v>
      </c>
      <c r="E1419">
        <v>14</v>
      </c>
      <c r="F1419">
        <v>31.868844687292402</v>
      </c>
      <c r="G1419">
        <v>15.934422343646201</v>
      </c>
      <c r="H1419">
        <v>44519</v>
      </c>
    </row>
    <row r="1420" spans="1:12" x14ac:dyDescent="0.35">
      <c r="A1420" t="s">
        <v>193</v>
      </c>
      <c r="B1420" t="s">
        <v>460</v>
      </c>
      <c r="C1420" t="s">
        <v>302</v>
      </c>
      <c r="D1420" t="s">
        <v>155</v>
      </c>
      <c r="E1420">
        <v>39</v>
      </c>
      <c r="F1420">
        <v>7.1871918635209333</v>
      </c>
      <c r="G1420">
        <v>3.5935959317604667</v>
      </c>
      <c r="H1420">
        <v>44519</v>
      </c>
    </row>
    <row r="1421" spans="1:12" x14ac:dyDescent="0.35">
      <c r="A1421" t="s">
        <v>186</v>
      </c>
      <c r="B1421" t="s">
        <v>460</v>
      </c>
      <c r="C1421" t="s">
        <v>302</v>
      </c>
      <c r="D1421" t="s">
        <v>155</v>
      </c>
      <c r="E1421">
        <v>7</v>
      </c>
      <c r="F1421">
        <v>1.2900087960165778</v>
      </c>
      <c r="G1421">
        <v>0.6450043980082889</v>
      </c>
      <c r="H1421">
        <v>44519</v>
      </c>
    </row>
    <row r="1422" spans="1:12" x14ac:dyDescent="0.35">
      <c r="A1422" t="s">
        <v>268</v>
      </c>
      <c r="B1422" t="s">
        <v>460</v>
      </c>
      <c r="C1422" t="s">
        <v>302</v>
      </c>
      <c r="D1422" t="s">
        <v>155</v>
      </c>
      <c r="E1422">
        <v>64</v>
      </c>
      <c r="F1422">
        <v>17.994024901296346</v>
      </c>
      <c r="G1422">
        <v>7.1976099605185393</v>
      </c>
      <c r="H1422">
        <v>44519</v>
      </c>
    </row>
    <row r="1423" spans="1:12" x14ac:dyDescent="0.35">
      <c r="A1423" t="s">
        <v>440</v>
      </c>
      <c r="B1423" t="s">
        <v>460</v>
      </c>
      <c r="C1423" t="s">
        <v>302</v>
      </c>
      <c r="D1423" t="s">
        <v>155</v>
      </c>
      <c r="E1423">
        <v>320</v>
      </c>
      <c r="F1423">
        <v>1046.9372306639118</v>
      </c>
      <c r="G1423">
        <v>523.4686153319559</v>
      </c>
      <c r="H1423">
        <v>44519</v>
      </c>
    </row>
    <row r="1424" spans="1:12" x14ac:dyDescent="0.35">
      <c r="A1424" t="s">
        <v>400</v>
      </c>
      <c r="B1424" t="s">
        <v>460</v>
      </c>
      <c r="C1424" t="s">
        <v>302</v>
      </c>
      <c r="D1424" t="s">
        <v>155</v>
      </c>
      <c r="E1424">
        <v>246027</v>
      </c>
      <c r="F1424">
        <v>46272.41822333743</v>
      </c>
      <c r="G1424">
        <v>30077.071845169321</v>
      </c>
      <c r="H1424">
        <v>44519</v>
      </c>
      <c r="L1424">
        <v>44623</v>
      </c>
    </row>
    <row r="1425" spans="1:12" x14ac:dyDescent="0.35">
      <c r="A1425" t="s">
        <v>435</v>
      </c>
      <c r="B1425" t="s">
        <v>462</v>
      </c>
      <c r="C1425" t="s">
        <v>302</v>
      </c>
      <c r="D1425" t="s">
        <v>155</v>
      </c>
      <c r="E1425">
        <v>1064</v>
      </c>
      <c r="F1425">
        <v>1944.7662772535298</v>
      </c>
      <c r="G1425">
        <v>972.38313862676489</v>
      </c>
      <c r="H1425">
        <v>44524</v>
      </c>
    </row>
    <row r="1426" spans="1:12" x14ac:dyDescent="0.35">
      <c r="A1426" t="s">
        <v>381</v>
      </c>
      <c r="B1426" t="s">
        <v>462</v>
      </c>
      <c r="C1426" t="s">
        <v>302</v>
      </c>
      <c r="D1426" t="s">
        <v>155</v>
      </c>
      <c r="E1426">
        <v>1</v>
      </c>
      <c r="F1426">
        <v>2.8806696621682182</v>
      </c>
      <c r="G1426">
        <v>1.1522678648672873</v>
      </c>
      <c r="H1426">
        <v>44524</v>
      </c>
    </row>
    <row r="1427" spans="1:12" x14ac:dyDescent="0.35">
      <c r="A1427" t="s">
        <v>428</v>
      </c>
      <c r="B1427" t="s">
        <v>462</v>
      </c>
      <c r="C1427" t="s">
        <v>302</v>
      </c>
      <c r="D1427" t="s">
        <v>155</v>
      </c>
      <c r="E1427">
        <v>5472</v>
      </c>
      <c r="F1427">
        <v>1279.7672896686968</v>
      </c>
      <c r="G1427">
        <v>639.88364483434839</v>
      </c>
      <c r="H1427">
        <v>44524</v>
      </c>
    </row>
    <row r="1428" spans="1:12" x14ac:dyDescent="0.35">
      <c r="A1428" t="s">
        <v>463</v>
      </c>
      <c r="B1428" t="s">
        <v>462</v>
      </c>
      <c r="C1428" t="s">
        <v>302</v>
      </c>
      <c r="D1428" t="s">
        <v>155</v>
      </c>
      <c r="E1428">
        <v>983</v>
      </c>
      <c r="F1428">
        <v>879.25159983438255</v>
      </c>
      <c r="G1428">
        <v>439.62579991719127</v>
      </c>
      <c r="H1428">
        <v>44524</v>
      </c>
      <c r="J1428">
        <v>44564</v>
      </c>
      <c r="K1428" t="s">
        <v>454</v>
      </c>
      <c r="L1428">
        <v>44642</v>
      </c>
    </row>
    <row r="1429" spans="1:12" x14ac:dyDescent="0.35">
      <c r="A1429" t="s">
        <v>383</v>
      </c>
      <c r="B1429" t="s">
        <v>462</v>
      </c>
      <c r="C1429" t="s">
        <v>302</v>
      </c>
      <c r="D1429" t="s">
        <v>155</v>
      </c>
      <c r="E1429">
        <v>845</v>
      </c>
      <c r="F1429">
        <v>2384.2158109974348</v>
      </c>
      <c r="G1429">
        <v>953.68632439897431</v>
      </c>
      <c r="H1429">
        <v>44524</v>
      </c>
      <c r="L1429">
        <v>44610</v>
      </c>
    </row>
    <row r="1430" spans="1:12" x14ac:dyDescent="0.35">
      <c r="A1430" t="s">
        <v>357</v>
      </c>
      <c r="B1430" t="s">
        <v>462</v>
      </c>
      <c r="C1430" t="s">
        <v>302</v>
      </c>
      <c r="D1430" t="s">
        <v>155</v>
      </c>
      <c r="E1430">
        <v>14</v>
      </c>
      <c r="F1430">
        <v>25.860452579445699</v>
      </c>
      <c r="G1430">
        <v>12.930226289722849</v>
      </c>
      <c r="H1430">
        <v>44524</v>
      </c>
    </row>
    <row r="1431" spans="1:12" x14ac:dyDescent="0.35">
      <c r="A1431" t="s">
        <v>375</v>
      </c>
      <c r="B1431" t="s">
        <v>462</v>
      </c>
      <c r="C1431" t="s">
        <v>302</v>
      </c>
      <c r="D1431" t="s">
        <v>155</v>
      </c>
      <c r="E1431">
        <v>426</v>
      </c>
      <c r="F1431">
        <v>951.27217901924996</v>
      </c>
      <c r="G1431">
        <v>475.63608950962498</v>
      </c>
      <c r="H1431">
        <v>44524</v>
      </c>
      <c r="L1431">
        <v>45133</v>
      </c>
    </row>
    <row r="1432" spans="1:12" x14ac:dyDescent="0.35">
      <c r="A1432" t="s">
        <v>405</v>
      </c>
      <c r="B1432" t="s">
        <v>462</v>
      </c>
      <c r="C1432" t="s">
        <v>302</v>
      </c>
      <c r="D1432" t="s">
        <v>155</v>
      </c>
      <c r="E1432">
        <v>11440</v>
      </c>
      <c r="F1432">
        <v>2554.908477498283</v>
      </c>
      <c r="G1432">
        <v>1277.4542387491415</v>
      </c>
      <c r="H1432">
        <v>44524</v>
      </c>
      <c r="L1432">
        <v>45265</v>
      </c>
    </row>
    <row r="1433" spans="1:12" x14ac:dyDescent="0.35">
      <c r="A1433" t="s">
        <v>386</v>
      </c>
      <c r="B1433" t="s">
        <v>462</v>
      </c>
      <c r="C1433" t="s">
        <v>302</v>
      </c>
      <c r="D1433" t="s">
        <v>155</v>
      </c>
      <c r="E1433">
        <v>2804</v>
      </c>
      <c r="F1433">
        <v>1020.8393698039608</v>
      </c>
      <c r="G1433">
        <v>510.41968490198042</v>
      </c>
      <c r="H1433">
        <v>44524</v>
      </c>
      <c r="J1433">
        <v>17689</v>
      </c>
      <c r="K1433">
        <v>8845.6</v>
      </c>
      <c r="L1433">
        <v>45106</v>
      </c>
    </row>
    <row r="1434" spans="1:12" x14ac:dyDescent="0.35">
      <c r="A1434" t="s">
        <v>438</v>
      </c>
      <c r="B1434" t="s">
        <v>462</v>
      </c>
      <c r="C1434" t="s">
        <v>302</v>
      </c>
      <c r="D1434" t="s">
        <v>155</v>
      </c>
      <c r="E1434">
        <v>20</v>
      </c>
      <c r="F1434">
        <v>20.347485289265663</v>
      </c>
      <c r="G1434">
        <v>10.173742644632831</v>
      </c>
      <c r="H1434">
        <v>44524</v>
      </c>
    </row>
    <row r="1435" spans="1:12" x14ac:dyDescent="0.35">
      <c r="A1435" t="s">
        <v>326</v>
      </c>
      <c r="B1435" t="s">
        <v>462</v>
      </c>
      <c r="C1435" t="s">
        <v>302</v>
      </c>
      <c r="D1435" t="s">
        <v>155</v>
      </c>
      <c r="E1435">
        <v>4</v>
      </c>
      <c r="F1435">
        <v>1.3760032820699397</v>
      </c>
      <c r="G1435">
        <v>0.68800164103496986</v>
      </c>
      <c r="H1435">
        <v>44524</v>
      </c>
    </row>
    <row r="1436" spans="1:12" x14ac:dyDescent="0.35">
      <c r="A1436" t="s">
        <v>445</v>
      </c>
      <c r="B1436" t="s">
        <v>462</v>
      </c>
      <c r="C1436" t="s">
        <v>302</v>
      </c>
      <c r="D1436" t="s">
        <v>155</v>
      </c>
      <c r="E1436">
        <v>201</v>
      </c>
      <c r="F1436">
        <v>455.7879679448007</v>
      </c>
      <c r="G1436">
        <v>227.89398397240035</v>
      </c>
      <c r="H1436">
        <v>44524</v>
      </c>
    </row>
    <row r="1437" spans="1:12" x14ac:dyDescent="0.35">
      <c r="A1437" t="s">
        <v>459</v>
      </c>
      <c r="B1437" t="s">
        <v>462</v>
      </c>
      <c r="C1437" t="s">
        <v>302</v>
      </c>
      <c r="D1437" t="s">
        <v>155</v>
      </c>
      <c r="E1437">
        <v>61082</v>
      </c>
      <c r="F1437">
        <v>16515.516515217885</v>
      </c>
      <c r="G1437">
        <v>8257.7582576089426</v>
      </c>
      <c r="H1437">
        <v>44524</v>
      </c>
      <c r="L1437">
        <v>44568</v>
      </c>
    </row>
    <row r="1438" spans="1:12" x14ac:dyDescent="0.35">
      <c r="A1438" t="s">
        <v>362</v>
      </c>
      <c r="B1438" t="s">
        <v>462</v>
      </c>
      <c r="C1438" t="s">
        <v>302</v>
      </c>
      <c r="D1438" t="s">
        <v>155</v>
      </c>
      <c r="E1438">
        <v>279</v>
      </c>
      <c r="F1438">
        <v>400.10700319814043</v>
      </c>
      <c r="G1438">
        <v>160.04280127925617</v>
      </c>
      <c r="H1438">
        <v>44524</v>
      </c>
    </row>
    <row r="1439" spans="1:12" x14ac:dyDescent="0.35">
      <c r="A1439" t="s">
        <v>446</v>
      </c>
      <c r="B1439" t="s">
        <v>462</v>
      </c>
      <c r="C1439" t="s">
        <v>302</v>
      </c>
      <c r="D1439" t="s">
        <v>155</v>
      </c>
      <c r="E1439">
        <v>16</v>
      </c>
      <c r="F1439">
        <v>3.5011055042929775</v>
      </c>
      <c r="G1439">
        <v>1.7505527521464888</v>
      </c>
      <c r="H1439">
        <v>44524</v>
      </c>
    </row>
    <row r="1440" spans="1:12" x14ac:dyDescent="0.35">
      <c r="A1440" t="s">
        <v>416</v>
      </c>
      <c r="B1440" t="s">
        <v>462</v>
      </c>
      <c r="C1440" t="s">
        <v>302</v>
      </c>
      <c r="D1440" t="s">
        <v>155</v>
      </c>
      <c r="E1440">
        <v>276</v>
      </c>
      <c r="F1440">
        <v>305.28622012832983</v>
      </c>
      <c r="G1440">
        <v>152.64311006416492</v>
      </c>
      <c r="H1440">
        <v>44524</v>
      </c>
    </row>
    <row r="1441" spans="1:12" x14ac:dyDescent="0.35">
      <c r="A1441" t="s">
        <v>417</v>
      </c>
      <c r="B1441" t="s">
        <v>462</v>
      </c>
      <c r="C1441" t="s">
        <v>302</v>
      </c>
      <c r="D1441" t="s">
        <v>155</v>
      </c>
      <c r="E1441">
        <v>12848</v>
      </c>
      <c r="F1441">
        <v>2972.8476007765321</v>
      </c>
      <c r="G1441">
        <v>1486.423800388266</v>
      </c>
      <c r="H1441">
        <v>44524</v>
      </c>
    </row>
    <row r="1442" spans="1:12" x14ac:dyDescent="0.35">
      <c r="A1442" t="s">
        <v>387</v>
      </c>
      <c r="B1442" t="s">
        <v>462</v>
      </c>
      <c r="C1442" t="s">
        <v>302</v>
      </c>
      <c r="D1442" t="s">
        <v>155</v>
      </c>
      <c r="E1442">
        <v>1009</v>
      </c>
      <c r="F1442">
        <v>409.32615195928076</v>
      </c>
      <c r="G1442">
        <v>245.5956911755685</v>
      </c>
      <c r="H1442">
        <v>44524</v>
      </c>
      <c r="L1442">
        <v>44580</v>
      </c>
    </row>
    <row r="1443" spans="1:12" x14ac:dyDescent="0.35">
      <c r="A1443" t="s">
        <v>329</v>
      </c>
      <c r="B1443" t="s">
        <v>462</v>
      </c>
      <c r="C1443" t="s">
        <v>302</v>
      </c>
      <c r="D1443" t="s">
        <v>155</v>
      </c>
      <c r="E1443">
        <v>31</v>
      </c>
      <c r="F1443">
        <v>73.207272061914338</v>
      </c>
      <c r="G1443">
        <v>36.603636030957169</v>
      </c>
      <c r="H1443">
        <v>44524</v>
      </c>
    </row>
    <row r="1444" spans="1:12" x14ac:dyDescent="0.35">
      <c r="A1444" t="s">
        <v>401</v>
      </c>
      <c r="B1444" t="s">
        <v>462</v>
      </c>
      <c r="C1444" t="s">
        <v>302</v>
      </c>
      <c r="D1444" t="s">
        <v>155</v>
      </c>
      <c r="E1444">
        <v>7370</v>
      </c>
      <c r="F1444">
        <v>2073.0216881305801</v>
      </c>
      <c r="G1444">
        <v>1036.51084406529</v>
      </c>
      <c r="H1444">
        <v>44524</v>
      </c>
    </row>
    <row r="1445" spans="1:12" x14ac:dyDescent="0.35">
      <c r="A1445" t="s">
        <v>458</v>
      </c>
      <c r="B1445" t="s">
        <v>462</v>
      </c>
      <c r="C1445" t="s">
        <v>302</v>
      </c>
      <c r="D1445" t="s">
        <v>155</v>
      </c>
      <c r="E1445">
        <v>26</v>
      </c>
      <c r="F1445">
        <v>13.674848148925809</v>
      </c>
      <c r="G1445">
        <v>6.8374240744629047</v>
      </c>
      <c r="H1445">
        <v>44524</v>
      </c>
    </row>
    <row r="1446" spans="1:12" x14ac:dyDescent="0.35">
      <c r="A1446" t="s">
        <v>447</v>
      </c>
      <c r="B1446" t="s">
        <v>462</v>
      </c>
      <c r="C1446" t="s">
        <v>302</v>
      </c>
      <c r="D1446" t="s">
        <v>155</v>
      </c>
      <c r="E1446">
        <v>9</v>
      </c>
      <c r="F1446">
        <v>25.052552544117944</v>
      </c>
      <c r="G1446">
        <v>12.526276272058972</v>
      </c>
      <c r="H1446">
        <v>44524</v>
      </c>
    </row>
    <row r="1447" spans="1:12" x14ac:dyDescent="0.35">
      <c r="A1447" t="s">
        <v>418</v>
      </c>
      <c r="B1447" t="s">
        <v>462</v>
      </c>
      <c r="C1447" t="s">
        <v>302</v>
      </c>
      <c r="D1447" t="s">
        <v>155</v>
      </c>
      <c r="E1447">
        <v>15</v>
      </c>
      <c r="F1447">
        <v>35.975583587068591</v>
      </c>
      <c r="G1447">
        <v>17.987791793534296</v>
      </c>
      <c r="H1447">
        <v>44524</v>
      </c>
    </row>
    <row r="1448" spans="1:12" x14ac:dyDescent="0.35">
      <c r="A1448" t="s">
        <v>425</v>
      </c>
      <c r="B1448" t="s">
        <v>462</v>
      </c>
      <c r="C1448" t="s">
        <v>302</v>
      </c>
      <c r="D1448" t="s">
        <v>155</v>
      </c>
      <c r="E1448">
        <v>8</v>
      </c>
      <c r="F1448">
        <v>15.810895951891068</v>
      </c>
      <c r="G1448">
        <v>7.9054479759455338</v>
      </c>
      <c r="H1448">
        <v>44524</v>
      </c>
    </row>
    <row r="1449" spans="1:12" x14ac:dyDescent="0.35">
      <c r="A1449" t="s">
        <v>332</v>
      </c>
      <c r="B1449" t="s">
        <v>462</v>
      </c>
      <c r="C1449" t="s">
        <v>302</v>
      </c>
      <c r="D1449" t="s">
        <v>155</v>
      </c>
      <c r="E1449">
        <v>168</v>
      </c>
      <c r="F1449">
        <v>481.29065267611077</v>
      </c>
      <c r="G1449">
        <v>192.51626107044433</v>
      </c>
      <c r="H1449">
        <v>44524</v>
      </c>
    </row>
    <row r="1450" spans="1:12" x14ac:dyDescent="0.35">
      <c r="A1450" t="s">
        <v>314</v>
      </c>
      <c r="B1450" t="s">
        <v>462</v>
      </c>
      <c r="C1450" t="s">
        <v>302</v>
      </c>
      <c r="D1450" t="s">
        <v>155</v>
      </c>
      <c r="E1450">
        <v>82</v>
      </c>
      <c r="F1450">
        <v>211.57675186394476</v>
      </c>
      <c r="G1450">
        <v>63.473025559183426</v>
      </c>
      <c r="H1450">
        <v>44524</v>
      </c>
      <c r="J1450">
        <v>44564</v>
      </c>
      <c r="K1450" t="s">
        <v>461</v>
      </c>
      <c r="L1450">
        <v>44691</v>
      </c>
    </row>
    <row r="1451" spans="1:12" x14ac:dyDescent="0.35">
      <c r="A1451" t="s">
        <v>30</v>
      </c>
      <c r="B1451" t="s">
        <v>462</v>
      </c>
      <c r="C1451" t="s">
        <v>302</v>
      </c>
      <c r="D1451" t="s">
        <v>155</v>
      </c>
      <c r="E1451">
        <v>143</v>
      </c>
      <c r="F1451">
        <v>60.618509356425704</v>
      </c>
      <c r="G1451">
        <v>30.309254678212852</v>
      </c>
      <c r="H1451">
        <v>44524</v>
      </c>
    </row>
    <row r="1452" spans="1:12" x14ac:dyDescent="0.35">
      <c r="A1452" t="s">
        <v>347</v>
      </c>
      <c r="B1452" t="s">
        <v>462</v>
      </c>
      <c r="C1452" t="s">
        <v>302</v>
      </c>
      <c r="D1452" t="s">
        <v>155</v>
      </c>
      <c r="E1452">
        <v>3</v>
      </c>
      <c r="F1452">
        <v>0.65645728205493326</v>
      </c>
      <c r="G1452">
        <v>0.19693718461647997</v>
      </c>
      <c r="H1452">
        <v>44524</v>
      </c>
    </row>
    <row r="1453" spans="1:12" x14ac:dyDescent="0.35">
      <c r="A1453" t="s">
        <v>420</v>
      </c>
      <c r="B1453" t="s">
        <v>462</v>
      </c>
      <c r="C1453" t="s">
        <v>302</v>
      </c>
      <c r="D1453" t="s">
        <v>155</v>
      </c>
      <c r="E1453">
        <v>11</v>
      </c>
      <c r="F1453">
        <v>9.5190873232551212</v>
      </c>
      <c r="G1453">
        <v>4.7595436616275606</v>
      </c>
      <c r="H1453">
        <v>44524</v>
      </c>
    </row>
    <row r="1454" spans="1:12" x14ac:dyDescent="0.35">
      <c r="A1454" t="s">
        <v>464</v>
      </c>
      <c r="B1454" t="s">
        <v>462</v>
      </c>
      <c r="C1454" t="s">
        <v>302</v>
      </c>
      <c r="D1454" t="s">
        <v>155</v>
      </c>
      <c r="E1454">
        <v>28</v>
      </c>
      <c r="F1454">
        <v>62.025796563660755</v>
      </c>
      <c r="G1454">
        <v>31.012898281830378</v>
      </c>
      <c r="H1454">
        <v>44524</v>
      </c>
    </row>
    <row r="1455" spans="1:12" x14ac:dyDescent="0.35">
      <c r="A1455" t="s">
        <v>388</v>
      </c>
      <c r="B1455" t="s">
        <v>462</v>
      </c>
      <c r="C1455" t="s">
        <v>302</v>
      </c>
      <c r="D1455" t="s">
        <v>155</v>
      </c>
      <c r="E1455">
        <v>1552</v>
      </c>
      <c r="F1455">
        <v>4208.3259407752157</v>
      </c>
      <c r="G1455">
        <v>2104.1629703876079</v>
      </c>
      <c r="H1455">
        <v>44524</v>
      </c>
      <c r="J1455">
        <v>44564</v>
      </c>
      <c r="K1455" t="s">
        <v>454</v>
      </c>
      <c r="L1455">
        <v>44642</v>
      </c>
    </row>
    <row r="1456" spans="1:12" x14ac:dyDescent="0.35">
      <c r="A1456" t="s">
        <v>436</v>
      </c>
      <c r="B1456" t="s">
        <v>462</v>
      </c>
      <c r="C1456" t="s">
        <v>302</v>
      </c>
      <c r="D1456" t="s">
        <v>155</v>
      </c>
      <c r="E1456">
        <v>1198</v>
      </c>
      <c r="F1456">
        <v>509.26064026418004</v>
      </c>
      <c r="G1456">
        <v>254.63032013209002</v>
      </c>
      <c r="H1456">
        <v>44524</v>
      </c>
      <c r="L1456">
        <v>44572</v>
      </c>
    </row>
    <row r="1457" spans="1:12" x14ac:dyDescent="0.35">
      <c r="A1457" t="s">
        <v>359</v>
      </c>
      <c r="B1457" t="s">
        <v>462</v>
      </c>
      <c r="C1457" t="s">
        <v>302</v>
      </c>
      <c r="D1457" t="s">
        <v>155</v>
      </c>
      <c r="E1457">
        <v>9</v>
      </c>
      <c r="F1457">
        <v>9.9549235506145202</v>
      </c>
      <c r="G1457">
        <v>4.9774617753072601</v>
      </c>
      <c r="H1457">
        <v>44524</v>
      </c>
    </row>
    <row r="1458" spans="1:12" x14ac:dyDescent="0.35">
      <c r="A1458" t="s">
        <v>213</v>
      </c>
      <c r="B1458" t="s">
        <v>462</v>
      </c>
      <c r="C1458" t="s">
        <v>302</v>
      </c>
      <c r="D1458" t="s">
        <v>155</v>
      </c>
      <c r="E1458">
        <v>1</v>
      </c>
      <c r="F1458">
        <v>0.46918254701665874</v>
      </c>
      <c r="G1458">
        <v>0.14075476410499763</v>
      </c>
      <c r="H1458">
        <v>44524</v>
      </c>
    </row>
    <row r="1459" spans="1:12" x14ac:dyDescent="0.35">
      <c r="A1459" t="s">
        <v>190</v>
      </c>
      <c r="B1459" t="s">
        <v>462</v>
      </c>
      <c r="C1459" t="s">
        <v>302</v>
      </c>
      <c r="D1459" t="s">
        <v>155</v>
      </c>
      <c r="E1459">
        <v>45003</v>
      </c>
      <c r="F1459">
        <v>10170.6478196835</v>
      </c>
      <c r="G1459">
        <v>5085.3239098417498</v>
      </c>
      <c r="H1459">
        <v>44524</v>
      </c>
      <c r="L1459">
        <v>44602</v>
      </c>
    </row>
    <row r="1460" spans="1:12" x14ac:dyDescent="0.35">
      <c r="A1460" t="s">
        <v>162</v>
      </c>
      <c r="B1460" t="s">
        <v>462</v>
      </c>
      <c r="C1460" t="s">
        <v>302</v>
      </c>
      <c r="D1460" t="s">
        <v>155</v>
      </c>
      <c r="E1460">
        <v>66</v>
      </c>
      <c r="F1460">
        <v>135.62779319813745</v>
      </c>
      <c r="G1460">
        <v>81.376675918882498</v>
      </c>
      <c r="H1460">
        <v>44524</v>
      </c>
      <c r="L1460">
        <v>44736</v>
      </c>
    </row>
    <row r="1461" spans="1:12" x14ac:dyDescent="0.35">
      <c r="A1461" t="s">
        <v>452</v>
      </c>
      <c r="B1461" t="s">
        <v>462</v>
      </c>
      <c r="C1461" t="s">
        <v>302</v>
      </c>
      <c r="D1461" t="s">
        <v>155</v>
      </c>
      <c r="E1461">
        <v>10841</v>
      </c>
      <c r="F1461">
        <v>4585.6294810291347</v>
      </c>
      <c r="G1461">
        <v>2292.8147405145673</v>
      </c>
      <c r="H1461">
        <v>44524</v>
      </c>
      <c r="J1461">
        <v>44564</v>
      </c>
      <c r="K1461" t="s">
        <v>454</v>
      </c>
      <c r="L1461">
        <v>44594</v>
      </c>
    </row>
    <row r="1462" spans="1:12" x14ac:dyDescent="0.35">
      <c r="A1462" t="s">
        <v>422</v>
      </c>
      <c r="B1462" t="s">
        <v>462</v>
      </c>
      <c r="C1462" t="s">
        <v>302</v>
      </c>
      <c r="D1462" t="s">
        <v>155</v>
      </c>
      <c r="E1462">
        <v>835</v>
      </c>
      <c r="F1462">
        <v>182.96430695828809</v>
      </c>
      <c r="G1462">
        <v>109.78</v>
      </c>
      <c r="H1462">
        <v>44524</v>
      </c>
    </row>
    <row r="1463" spans="1:12" x14ac:dyDescent="0.35">
      <c r="A1463" t="s">
        <v>457</v>
      </c>
      <c r="B1463" t="s">
        <v>462</v>
      </c>
      <c r="C1463" t="s">
        <v>302</v>
      </c>
      <c r="D1463" t="s">
        <v>155</v>
      </c>
      <c r="E1463">
        <v>94195</v>
      </c>
      <c r="F1463">
        <v>20765.991700128176</v>
      </c>
      <c r="G1463">
        <v>10382.995850064088</v>
      </c>
      <c r="H1463">
        <v>44524</v>
      </c>
      <c r="L1463">
        <v>44719</v>
      </c>
    </row>
    <row r="1464" spans="1:12" x14ac:dyDescent="0.35">
      <c r="A1464" t="s">
        <v>390</v>
      </c>
      <c r="B1464" t="s">
        <v>462</v>
      </c>
      <c r="C1464" t="s">
        <v>302</v>
      </c>
      <c r="D1464" t="s">
        <v>155</v>
      </c>
      <c r="E1464">
        <v>4262</v>
      </c>
      <c r="F1464">
        <v>1079.1402557660444</v>
      </c>
      <c r="G1464">
        <v>539.57012788302222</v>
      </c>
      <c r="H1464">
        <v>44524</v>
      </c>
      <c r="J1464">
        <v>44564</v>
      </c>
      <c r="K1464" t="s">
        <v>461</v>
      </c>
      <c r="L1464">
        <v>45055</v>
      </c>
    </row>
    <row r="1465" spans="1:12" x14ac:dyDescent="0.35">
      <c r="A1465" t="s">
        <v>450</v>
      </c>
      <c r="B1465" t="s">
        <v>462</v>
      </c>
      <c r="C1465" t="s">
        <v>302</v>
      </c>
      <c r="D1465" t="s">
        <v>155</v>
      </c>
      <c r="E1465">
        <v>211</v>
      </c>
      <c r="F1465">
        <v>489.99799909631724</v>
      </c>
      <c r="G1465">
        <v>244.99899954815862</v>
      </c>
      <c r="H1465">
        <v>44524</v>
      </c>
      <c r="L1465">
        <v>44599</v>
      </c>
    </row>
    <row r="1466" spans="1:12" x14ac:dyDescent="0.35">
      <c r="A1466" t="s">
        <v>283</v>
      </c>
      <c r="B1466" t="s">
        <v>462</v>
      </c>
      <c r="C1466" t="s">
        <v>302</v>
      </c>
      <c r="D1466" t="s">
        <v>155</v>
      </c>
      <c r="E1466">
        <v>21081</v>
      </c>
      <c r="F1466">
        <v>4839.3867849365015</v>
      </c>
      <c r="G1466">
        <v>2419.6933924682507</v>
      </c>
      <c r="H1466">
        <v>44524</v>
      </c>
      <c r="L1466">
        <v>44568</v>
      </c>
    </row>
    <row r="1467" spans="1:12" x14ac:dyDescent="0.35">
      <c r="A1467" t="s">
        <v>306</v>
      </c>
      <c r="B1467" t="s">
        <v>462</v>
      </c>
      <c r="C1467" t="s">
        <v>302</v>
      </c>
      <c r="D1467" t="s">
        <v>155</v>
      </c>
      <c r="E1467">
        <v>27686</v>
      </c>
      <c r="F1467">
        <v>6134.9370604913847</v>
      </c>
      <c r="G1467">
        <v>3067.4685302456924</v>
      </c>
      <c r="H1467">
        <v>44524</v>
      </c>
      <c r="L1467">
        <v>44568</v>
      </c>
    </row>
    <row r="1468" spans="1:12" x14ac:dyDescent="0.35">
      <c r="A1468" t="s">
        <v>456</v>
      </c>
      <c r="B1468" t="s">
        <v>462</v>
      </c>
      <c r="C1468" t="s">
        <v>302</v>
      </c>
      <c r="D1468" t="s">
        <v>155</v>
      </c>
      <c r="E1468">
        <v>44</v>
      </c>
      <c r="F1468">
        <v>90.502392092214862</v>
      </c>
      <c r="G1468">
        <v>45.251196046107431</v>
      </c>
      <c r="H1468">
        <v>44524</v>
      </c>
    </row>
    <row r="1469" spans="1:12" x14ac:dyDescent="0.35">
      <c r="A1469" t="s">
        <v>441</v>
      </c>
      <c r="B1469" t="s">
        <v>462</v>
      </c>
      <c r="C1469" t="s">
        <v>302</v>
      </c>
      <c r="D1469" t="s">
        <v>155</v>
      </c>
      <c r="E1469">
        <v>14</v>
      </c>
      <c r="F1469">
        <v>31.868844687292402</v>
      </c>
      <c r="G1469">
        <v>15.934422343646201</v>
      </c>
      <c r="H1469">
        <v>44524</v>
      </c>
    </row>
    <row r="1470" spans="1:12" x14ac:dyDescent="0.35">
      <c r="A1470" t="s">
        <v>193</v>
      </c>
      <c r="B1470" t="s">
        <v>462</v>
      </c>
      <c r="C1470" t="s">
        <v>302</v>
      </c>
      <c r="D1470" t="s">
        <v>155</v>
      </c>
      <c r="E1470">
        <v>39</v>
      </c>
      <c r="F1470">
        <v>7.1871918635209333</v>
      </c>
      <c r="G1470">
        <v>3.5935959317604667</v>
      </c>
      <c r="H1470">
        <v>44524</v>
      </c>
    </row>
    <row r="1471" spans="1:12" x14ac:dyDescent="0.35">
      <c r="A1471" t="s">
        <v>186</v>
      </c>
      <c r="B1471" t="s">
        <v>462</v>
      </c>
      <c r="C1471" t="s">
        <v>302</v>
      </c>
      <c r="D1471" t="s">
        <v>155</v>
      </c>
      <c r="E1471">
        <v>7</v>
      </c>
      <c r="F1471">
        <v>1.2900087960165778</v>
      </c>
      <c r="G1471">
        <v>0.6450043980082889</v>
      </c>
      <c r="H1471">
        <v>44524</v>
      </c>
    </row>
    <row r="1472" spans="1:12" x14ac:dyDescent="0.35">
      <c r="A1472" t="s">
        <v>268</v>
      </c>
      <c r="B1472" t="s">
        <v>462</v>
      </c>
      <c r="C1472" t="s">
        <v>302</v>
      </c>
      <c r="D1472" t="s">
        <v>155</v>
      </c>
      <c r="E1472">
        <v>64</v>
      </c>
      <c r="F1472">
        <v>17.994024901296346</v>
      </c>
      <c r="G1472">
        <v>7.1976099605185393</v>
      </c>
      <c r="H1472">
        <v>44524</v>
      </c>
    </row>
    <row r="1473" spans="1:12" x14ac:dyDescent="0.35">
      <c r="A1473" t="s">
        <v>440</v>
      </c>
      <c r="B1473" t="s">
        <v>462</v>
      </c>
      <c r="C1473" t="s">
        <v>302</v>
      </c>
      <c r="D1473" t="s">
        <v>155</v>
      </c>
      <c r="E1473">
        <v>320</v>
      </c>
      <c r="F1473">
        <v>1046.9372306639118</v>
      </c>
      <c r="G1473">
        <v>523.4686153319559</v>
      </c>
      <c r="H1473">
        <v>44524</v>
      </c>
    </row>
    <row r="1474" spans="1:12" x14ac:dyDescent="0.35">
      <c r="A1474" t="s">
        <v>400</v>
      </c>
      <c r="B1474" t="s">
        <v>462</v>
      </c>
      <c r="C1474" t="s">
        <v>302</v>
      </c>
      <c r="D1474" t="s">
        <v>155</v>
      </c>
      <c r="E1474">
        <v>204419</v>
      </c>
      <c r="F1474">
        <v>45864.931980324567</v>
      </c>
      <c r="G1474">
        <v>29812.205787210929</v>
      </c>
      <c r="H1474">
        <v>44524</v>
      </c>
      <c r="L1474">
        <v>44623</v>
      </c>
    </row>
    <row r="1475" spans="1:12" x14ac:dyDescent="0.35">
      <c r="A1475" t="s">
        <v>287</v>
      </c>
      <c r="B1475" t="s">
        <v>372</v>
      </c>
      <c r="C1475" t="s">
        <v>236</v>
      </c>
      <c r="D1475" t="s">
        <v>155</v>
      </c>
      <c r="E1475">
        <v>248</v>
      </c>
      <c r="F1475">
        <v>19.884500182910376</v>
      </c>
      <c r="G1475">
        <v>9.9422500914551879</v>
      </c>
      <c r="H1475">
        <v>44011</v>
      </c>
    </row>
    <row r="1476" spans="1:12" x14ac:dyDescent="0.35">
      <c r="A1476" t="s">
        <v>433</v>
      </c>
      <c r="B1476" t="s">
        <v>372</v>
      </c>
      <c r="C1476" t="s">
        <v>236</v>
      </c>
      <c r="D1476" t="s">
        <v>155</v>
      </c>
      <c r="E1476">
        <v>28</v>
      </c>
      <c r="F1476">
        <v>2.2437762852311325</v>
      </c>
      <c r="G1476">
        <v>1.1218881426155662</v>
      </c>
      <c r="H1476">
        <v>44011</v>
      </c>
    </row>
    <row r="1477" spans="1:12" x14ac:dyDescent="0.35">
      <c r="A1477" t="s">
        <v>193</v>
      </c>
      <c r="B1477" t="s">
        <v>372</v>
      </c>
      <c r="C1477" t="s">
        <v>236</v>
      </c>
      <c r="D1477" t="s">
        <v>155</v>
      </c>
      <c r="E1477">
        <v>210</v>
      </c>
      <c r="F1477">
        <v>16.867007937254737</v>
      </c>
      <c r="G1477">
        <v>8.4335039686273685</v>
      </c>
      <c r="H1477">
        <v>44011</v>
      </c>
    </row>
    <row r="1478" spans="1:12" x14ac:dyDescent="0.35">
      <c r="A1478" t="s">
        <v>193</v>
      </c>
      <c r="B1478" t="s">
        <v>465</v>
      </c>
      <c r="C1478" t="s">
        <v>236</v>
      </c>
      <c r="D1478" t="s">
        <v>155</v>
      </c>
      <c r="E1478">
        <v>191</v>
      </c>
      <c r="F1478">
        <v>14.314366244972303</v>
      </c>
      <c r="G1478">
        <v>7.1571831224861517</v>
      </c>
      <c r="H1478">
        <v>44035</v>
      </c>
    </row>
    <row r="1479" spans="1:12" x14ac:dyDescent="0.35">
      <c r="A1479" t="s">
        <v>193</v>
      </c>
      <c r="B1479" t="s">
        <v>466</v>
      </c>
      <c r="C1479" t="s">
        <v>236</v>
      </c>
      <c r="D1479" t="s">
        <v>155</v>
      </c>
      <c r="E1479">
        <v>157</v>
      </c>
      <c r="F1479">
        <v>10.263393411225152</v>
      </c>
      <c r="G1479">
        <v>5.1316967056125762</v>
      </c>
      <c r="H1479">
        <v>44063</v>
      </c>
    </row>
    <row r="1480" spans="1:12" x14ac:dyDescent="0.35">
      <c r="A1480" t="s">
        <v>193</v>
      </c>
      <c r="B1480" t="s">
        <v>467</v>
      </c>
      <c r="C1480" t="s">
        <v>236</v>
      </c>
      <c r="D1480" t="s">
        <v>155</v>
      </c>
      <c r="E1480">
        <v>109</v>
      </c>
      <c r="F1480">
        <v>6.9523479622608146</v>
      </c>
      <c r="G1480">
        <v>3.4761739811304073</v>
      </c>
      <c r="H1480">
        <v>44081</v>
      </c>
    </row>
    <row r="1481" spans="1:12" x14ac:dyDescent="0.35">
      <c r="A1481" t="s">
        <v>193</v>
      </c>
      <c r="B1481" t="s">
        <v>468</v>
      </c>
      <c r="C1481" t="s">
        <v>236</v>
      </c>
      <c r="D1481" t="s">
        <v>155</v>
      </c>
      <c r="E1481">
        <v>88</v>
      </c>
      <c r="F1481">
        <v>5.1799831446696203</v>
      </c>
      <c r="G1481">
        <v>2.5899915723348101</v>
      </c>
      <c r="H1481">
        <v>44168</v>
      </c>
    </row>
    <row r="1482" spans="1:12" x14ac:dyDescent="0.35">
      <c r="A1482" t="s">
        <v>193</v>
      </c>
      <c r="B1482" t="s">
        <v>403</v>
      </c>
      <c r="C1482" t="s">
        <v>236</v>
      </c>
      <c r="D1482" t="s">
        <v>155</v>
      </c>
      <c r="E1482">
        <v>100</v>
      </c>
      <c r="F1482">
        <v>5.7261601841547796</v>
      </c>
      <c r="G1482">
        <v>2.8630800920773898</v>
      </c>
      <c r="H1482">
        <v>44190</v>
      </c>
    </row>
    <row r="1483" spans="1:12" x14ac:dyDescent="0.35">
      <c r="A1483" t="s">
        <v>193</v>
      </c>
      <c r="B1483" t="s">
        <v>469</v>
      </c>
      <c r="C1483" t="s">
        <v>236</v>
      </c>
      <c r="D1483" t="s">
        <v>155</v>
      </c>
      <c r="E1483">
        <v>44</v>
      </c>
      <c r="F1483">
        <v>2.9080285980367973</v>
      </c>
      <c r="G1483">
        <v>1.4540142990183986</v>
      </c>
      <c r="H1483">
        <v>44256</v>
      </c>
    </row>
    <row r="1484" spans="1:12" x14ac:dyDescent="0.35">
      <c r="A1484" t="s">
        <v>193</v>
      </c>
      <c r="B1484" t="s">
        <v>470</v>
      </c>
      <c r="C1484" t="s">
        <v>236</v>
      </c>
      <c r="D1484" t="s">
        <v>155</v>
      </c>
      <c r="E1484">
        <v>2</v>
      </c>
      <c r="F1484">
        <v>5.3473126957822949E-2</v>
      </c>
      <c r="G1484">
        <v>2.6736563478911474E-2</v>
      </c>
      <c r="H1484">
        <v>44281</v>
      </c>
    </row>
    <row r="1485" spans="1:12" x14ac:dyDescent="0.35">
      <c r="A1485" t="s">
        <v>193</v>
      </c>
      <c r="B1485" t="s">
        <v>471</v>
      </c>
      <c r="C1485" t="s">
        <v>236</v>
      </c>
      <c r="D1485" t="s">
        <v>155</v>
      </c>
      <c r="E1485">
        <v>20</v>
      </c>
      <c r="F1485">
        <v>0.95893856048584081</v>
      </c>
      <c r="G1485">
        <v>0.4794692802429204</v>
      </c>
    </row>
    <row r="1486" spans="1:12" x14ac:dyDescent="0.35">
      <c r="A1486" t="s">
        <v>193</v>
      </c>
      <c r="B1486" t="s">
        <v>472</v>
      </c>
      <c r="C1486" t="s">
        <v>236</v>
      </c>
      <c r="D1486" t="s">
        <v>155</v>
      </c>
      <c r="E1486">
        <v>7</v>
      </c>
      <c r="F1486">
        <v>0.28120631217956554</v>
      </c>
      <c r="G1486">
        <v>0.14060315608978277</v>
      </c>
    </row>
    <row r="1487" spans="1:12" x14ac:dyDescent="0.35">
      <c r="A1487" t="s">
        <v>193</v>
      </c>
      <c r="B1487" t="s">
        <v>473</v>
      </c>
      <c r="C1487" t="s">
        <v>236</v>
      </c>
      <c r="D1487" t="s">
        <v>155</v>
      </c>
      <c r="E1487">
        <v>5</v>
      </c>
      <c r="F1487">
        <v>0.34660359978675809</v>
      </c>
      <c r="G1487">
        <v>0.17330179989337904</v>
      </c>
    </row>
    <row r="1488" spans="1:12" x14ac:dyDescent="0.35">
      <c r="A1488" t="s">
        <v>193</v>
      </c>
      <c r="B1488" t="s">
        <v>474</v>
      </c>
      <c r="C1488" t="s">
        <v>236</v>
      </c>
      <c r="D1488" t="s">
        <v>155</v>
      </c>
      <c r="E1488">
        <v>1</v>
      </c>
      <c r="F1488">
        <v>5.715766809880729E-2</v>
      </c>
      <c r="G1488">
        <v>2.8578834049403645E-2</v>
      </c>
    </row>
    <row r="1489" spans="1:12" x14ac:dyDescent="0.35">
      <c r="A1489" t="s">
        <v>475</v>
      </c>
      <c r="B1489" t="s">
        <v>476</v>
      </c>
      <c r="C1489" t="s">
        <v>302</v>
      </c>
      <c r="D1489" t="s">
        <v>155</v>
      </c>
      <c r="E1489">
        <v>525</v>
      </c>
      <c r="F1489">
        <v>1399.2021428559838</v>
      </c>
      <c r="G1489">
        <v>699.60107142799188</v>
      </c>
      <c r="H1489">
        <v>44616</v>
      </c>
    </row>
    <row r="1490" spans="1:12" x14ac:dyDescent="0.35">
      <c r="A1490" t="s">
        <v>379</v>
      </c>
      <c r="B1490" t="s">
        <v>476</v>
      </c>
      <c r="C1490" t="s">
        <v>302</v>
      </c>
      <c r="D1490" t="s">
        <v>155</v>
      </c>
      <c r="E1490">
        <v>8</v>
      </c>
      <c r="F1490">
        <v>3.2133845621023722</v>
      </c>
      <c r="G1490">
        <v>1.6066922810511861</v>
      </c>
      <c r="H1490">
        <v>44616</v>
      </c>
    </row>
    <row r="1491" spans="1:12" x14ac:dyDescent="0.35">
      <c r="A1491" t="s">
        <v>435</v>
      </c>
      <c r="B1491" t="s">
        <v>476</v>
      </c>
      <c r="C1491" t="s">
        <v>302</v>
      </c>
      <c r="D1491" t="s">
        <v>155</v>
      </c>
      <c r="E1491">
        <v>9125</v>
      </c>
      <c r="F1491">
        <v>20543.831912248363</v>
      </c>
      <c r="G1491">
        <v>10271.915956124181</v>
      </c>
      <c r="H1491">
        <v>44616</v>
      </c>
    </row>
    <row r="1492" spans="1:12" x14ac:dyDescent="0.35">
      <c r="A1492" t="s">
        <v>428</v>
      </c>
      <c r="B1492" t="s">
        <v>476</v>
      </c>
      <c r="C1492" t="s">
        <v>302</v>
      </c>
      <c r="D1492" t="s">
        <v>155</v>
      </c>
      <c r="E1492">
        <v>20388</v>
      </c>
      <c r="F1492">
        <v>4656.6834488963023</v>
      </c>
      <c r="G1492">
        <v>2328.3417244481511</v>
      </c>
      <c r="H1492">
        <v>44616</v>
      </c>
    </row>
    <row r="1493" spans="1:12" x14ac:dyDescent="0.35">
      <c r="A1493" t="s">
        <v>463</v>
      </c>
      <c r="B1493" t="s">
        <v>476</v>
      </c>
      <c r="C1493" t="s">
        <v>302</v>
      </c>
      <c r="D1493" t="s">
        <v>155</v>
      </c>
      <c r="E1493">
        <v>2972</v>
      </c>
      <c r="F1493">
        <v>2481.8847393594588</v>
      </c>
      <c r="G1493">
        <v>1240.9423696797294</v>
      </c>
      <c r="H1493">
        <v>44616</v>
      </c>
      <c r="J1493">
        <v>44634</v>
      </c>
      <c r="K1493" t="s">
        <v>454</v>
      </c>
      <c r="L1493">
        <v>44642</v>
      </c>
    </row>
    <row r="1494" spans="1:12" x14ac:dyDescent="0.35">
      <c r="A1494" t="s">
        <v>383</v>
      </c>
      <c r="B1494" t="s">
        <v>476</v>
      </c>
      <c r="C1494" t="s">
        <v>302</v>
      </c>
      <c r="D1494" t="s">
        <v>155</v>
      </c>
      <c r="E1494">
        <v>2566</v>
      </c>
      <c r="F1494">
        <v>6879.3557469336747</v>
      </c>
      <c r="G1494">
        <v>2751.7422987734703</v>
      </c>
      <c r="H1494">
        <v>44616</v>
      </c>
      <c r="L1494">
        <v>45063</v>
      </c>
    </row>
    <row r="1495" spans="1:12" x14ac:dyDescent="0.35">
      <c r="A1495" t="s">
        <v>357</v>
      </c>
      <c r="B1495" t="s">
        <v>476</v>
      </c>
      <c r="C1495" t="s">
        <v>302</v>
      </c>
      <c r="D1495" t="s">
        <v>155</v>
      </c>
      <c r="E1495">
        <v>180</v>
      </c>
      <c r="F1495">
        <v>348.06579521297692</v>
      </c>
      <c r="G1495">
        <v>174.03289760648846</v>
      </c>
      <c r="H1495">
        <v>44616</v>
      </c>
    </row>
    <row r="1496" spans="1:12" x14ac:dyDescent="0.35">
      <c r="A1496" t="s">
        <v>375</v>
      </c>
      <c r="B1496" t="s">
        <v>476</v>
      </c>
      <c r="C1496" t="s">
        <v>302</v>
      </c>
      <c r="D1496" t="s">
        <v>155</v>
      </c>
      <c r="E1496">
        <v>1120</v>
      </c>
      <c r="F1496">
        <v>2383.9942116840389</v>
      </c>
      <c r="G1496">
        <v>1191.9971058420194</v>
      </c>
      <c r="H1496">
        <v>44616</v>
      </c>
      <c r="L1496">
        <v>45133</v>
      </c>
    </row>
    <row r="1497" spans="1:12" x14ac:dyDescent="0.35">
      <c r="A1497" t="s">
        <v>405</v>
      </c>
      <c r="B1497" t="s">
        <v>476</v>
      </c>
      <c r="C1497" t="s">
        <v>302</v>
      </c>
      <c r="D1497" t="s">
        <v>155</v>
      </c>
      <c r="E1497">
        <v>51298</v>
      </c>
      <c r="F1497">
        <v>10834.796631020383</v>
      </c>
      <c r="G1497">
        <v>5417.3983155101914</v>
      </c>
      <c r="H1497">
        <v>44616</v>
      </c>
      <c r="L1497">
        <v>45265</v>
      </c>
    </row>
    <row r="1498" spans="1:12" x14ac:dyDescent="0.35">
      <c r="A1498" t="s">
        <v>386</v>
      </c>
      <c r="B1498" t="s">
        <v>476</v>
      </c>
      <c r="C1498" t="s">
        <v>302</v>
      </c>
      <c r="D1498" t="s">
        <v>155</v>
      </c>
      <c r="E1498">
        <v>3855</v>
      </c>
      <c r="F1498">
        <v>1724.7665945096096</v>
      </c>
      <c r="G1498">
        <v>862.3832972548048</v>
      </c>
      <c r="H1498">
        <v>44616</v>
      </c>
      <c r="L1498">
        <v>45106</v>
      </c>
    </row>
    <row r="1499" spans="1:12" x14ac:dyDescent="0.35">
      <c r="A1499" t="s">
        <v>265</v>
      </c>
      <c r="B1499" t="s">
        <v>476</v>
      </c>
      <c r="C1499" t="s">
        <v>302</v>
      </c>
      <c r="D1499" t="s">
        <v>155</v>
      </c>
      <c r="E1499">
        <v>2</v>
      </c>
      <c r="F1499">
        <v>4.9133363055745347</v>
      </c>
      <c r="G1499">
        <v>2.4566681527872674</v>
      </c>
      <c r="H1499">
        <v>44616</v>
      </c>
    </row>
    <row r="1500" spans="1:12" x14ac:dyDescent="0.35">
      <c r="A1500" t="s">
        <v>477</v>
      </c>
      <c r="B1500" t="s">
        <v>476</v>
      </c>
      <c r="C1500" t="s">
        <v>302</v>
      </c>
      <c r="D1500" t="s">
        <v>155</v>
      </c>
      <c r="E1500">
        <v>36</v>
      </c>
      <c r="F1500">
        <v>98.527060829339746</v>
      </c>
      <c r="G1500">
        <v>49.263530414669873</v>
      </c>
      <c r="H1500">
        <v>44616</v>
      </c>
    </row>
    <row r="1501" spans="1:12" x14ac:dyDescent="0.35">
      <c r="A1501" t="s">
        <v>438</v>
      </c>
      <c r="B1501" t="s">
        <v>476</v>
      </c>
      <c r="C1501" t="s">
        <v>302</v>
      </c>
      <c r="D1501" t="s">
        <v>155</v>
      </c>
      <c r="E1501">
        <v>33</v>
      </c>
      <c r="F1501">
        <v>32.875460389797333</v>
      </c>
      <c r="G1501">
        <v>16.437730194898666</v>
      </c>
      <c r="H1501">
        <v>44616</v>
      </c>
    </row>
    <row r="1502" spans="1:12" x14ac:dyDescent="0.35">
      <c r="A1502" t="s">
        <v>326</v>
      </c>
      <c r="B1502" t="s">
        <v>476</v>
      </c>
      <c r="C1502" t="s">
        <v>302</v>
      </c>
      <c r="D1502" t="s">
        <v>155</v>
      </c>
      <c r="E1502">
        <v>9</v>
      </c>
      <c r="F1502">
        <v>6.1919335383050047</v>
      </c>
      <c r="G1502">
        <v>3.0959667691525024</v>
      </c>
      <c r="H1502">
        <v>44616</v>
      </c>
    </row>
    <row r="1503" spans="1:12" x14ac:dyDescent="0.35">
      <c r="A1503" t="s">
        <v>445</v>
      </c>
      <c r="B1503" t="s">
        <v>476</v>
      </c>
      <c r="C1503" t="s">
        <v>302</v>
      </c>
      <c r="D1503" t="s">
        <v>155</v>
      </c>
      <c r="E1503">
        <v>410</v>
      </c>
      <c r="F1503">
        <v>887.19995417958307</v>
      </c>
      <c r="G1503">
        <v>443.59997708979154</v>
      </c>
      <c r="H1503">
        <v>44616</v>
      </c>
    </row>
    <row r="1504" spans="1:12" x14ac:dyDescent="0.35">
      <c r="A1504" t="s">
        <v>478</v>
      </c>
      <c r="B1504" t="s">
        <v>476</v>
      </c>
      <c r="C1504" t="s">
        <v>302</v>
      </c>
      <c r="D1504" t="s">
        <v>155</v>
      </c>
      <c r="E1504">
        <v>284</v>
      </c>
      <c r="F1504">
        <v>577.32131759205424</v>
      </c>
      <c r="G1504">
        <v>288.66065879602712</v>
      </c>
      <c r="H1504">
        <v>44616</v>
      </c>
      <c r="J1504">
        <v>44634</v>
      </c>
      <c r="K1504" t="s">
        <v>479</v>
      </c>
      <c r="L1504">
        <v>44748</v>
      </c>
    </row>
    <row r="1505" spans="1:12" x14ac:dyDescent="0.35">
      <c r="A1505" t="s">
        <v>459</v>
      </c>
      <c r="B1505" t="s">
        <v>476</v>
      </c>
      <c r="C1505" t="s">
        <v>302</v>
      </c>
      <c r="D1505" t="s">
        <v>155</v>
      </c>
      <c r="E1505">
        <v>971149</v>
      </c>
      <c r="F1505">
        <v>219900.29359037182</v>
      </c>
      <c r="G1505">
        <v>109950.14679518591</v>
      </c>
      <c r="H1505">
        <v>44616</v>
      </c>
      <c r="L1505">
        <v>44680</v>
      </c>
    </row>
    <row r="1506" spans="1:12" x14ac:dyDescent="0.35">
      <c r="A1506" t="s">
        <v>362</v>
      </c>
      <c r="B1506" t="s">
        <v>476</v>
      </c>
      <c r="C1506" t="s">
        <v>302</v>
      </c>
      <c r="D1506" t="s">
        <v>155</v>
      </c>
      <c r="E1506">
        <v>419</v>
      </c>
      <c r="F1506">
        <v>231.56709833159249</v>
      </c>
      <c r="G1506">
        <v>92.626839332636976</v>
      </c>
      <c r="H1506">
        <v>44616</v>
      </c>
    </row>
    <row r="1507" spans="1:12" x14ac:dyDescent="0.35">
      <c r="A1507" t="s">
        <v>446</v>
      </c>
      <c r="B1507" t="s">
        <v>476</v>
      </c>
      <c r="C1507" t="s">
        <v>302</v>
      </c>
      <c r="D1507" t="s">
        <v>155</v>
      </c>
      <c r="E1507">
        <v>45</v>
      </c>
      <c r="F1507">
        <v>25.241074425185225</v>
      </c>
      <c r="G1507">
        <v>12.620537212592613</v>
      </c>
      <c r="H1507">
        <v>44616</v>
      </c>
    </row>
    <row r="1508" spans="1:12" x14ac:dyDescent="0.35">
      <c r="A1508" t="s">
        <v>416</v>
      </c>
      <c r="B1508" t="s">
        <v>476</v>
      </c>
      <c r="C1508" t="s">
        <v>302</v>
      </c>
      <c r="D1508" t="s">
        <v>155</v>
      </c>
      <c r="E1508">
        <v>683</v>
      </c>
      <c r="F1508">
        <v>510.92779262172479</v>
      </c>
      <c r="G1508">
        <v>255.4638963108624</v>
      </c>
      <c r="H1508">
        <v>44616</v>
      </c>
    </row>
    <row r="1509" spans="1:12" x14ac:dyDescent="0.35">
      <c r="A1509" t="s">
        <v>417</v>
      </c>
      <c r="B1509" t="s">
        <v>476</v>
      </c>
      <c r="C1509" t="s">
        <v>302</v>
      </c>
      <c r="D1509" t="s">
        <v>155</v>
      </c>
      <c r="E1509">
        <v>10273</v>
      </c>
      <c r="F1509">
        <v>2473.2067275600598</v>
      </c>
      <c r="G1509">
        <v>1236.6033637800299</v>
      </c>
      <c r="H1509">
        <v>44616</v>
      </c>
    </row>
    <row r="1510" spans="1:12" x14ac:dyDescent="0.35">
      <c r="A1510" t="s">
        <v>387</v>
      </c>
      <c r="B1510" t="s">
        <v>476</v>
      </c>
      <c r="C1510" t="s">
        <v>302</v>
      </c>
      <c r="D1510" t="s">
        <v>155</v>
      </c>
      <c r="E1510">
        <v>426</v>
      </c>
      <c r="F1510">
        <v>295.99837633019797</v>
      </c>
      <c r="G1510">
        <v>177.59902579811882</v>
      </c>
      <c r="H1510">
        <v>44616</v>
      </c>
      <c r="L1510">
        <v>44904</v>
      </c>
    </row>
    <row r="1511" spans="1:12" x14ac:dyDescent="0.35">
      <c r="A1511" t="s">
        <v>329</v>
      </c>
      <c r="B1511" t="s">
        <v>476</v>
      </c>
      <c r="C1511" t="s">
        <v>302</v>
      </c>
      <c r="D1511" t="s">
        <v>155</v>
      </c>
      <c r="E1511">
        <v>75</v>
      </c>
      <c r="F1511">
        <v>155.40047929323208</v>
      </c>
      <c r="G1511">
        <v>77.700239646616041</v>
      </c>
      <c r="H1511">
        <v>44616</v>
      </c>
    </row>
    <row r="1512" spans="1:12" x14ac:dyDescent="0.35">
      <c r="A1512" t="s">
        <v>401</v>
      </c>
      <c r="B1512" t="s">
        <v>476</v>
      </c>
      <c r="C1512" t="s">
        <v>302</v>
      </c>
      <c r="D1512" t="s">
        <v>155</v>
      </c>
      <c r="E1512">
        <v>24714</v>
      </c>
      <c r="F1512">
        <v>5917.1173378222775</v>
      </c>
      <c r="G1512">
        <v>2958.5586689111387</v>
      </c>
      <c r="H1512">
        <v>44616</v>
      </c>
    </row>
    <row r="1513" spans="1:12" x14ac:dyDescent="0.35">
      <c r="A1513" t="s">
        <v>458</v>
      </c>
      <c r="B1513" t="s">
        <v>476</v>
      </c>
      <c r="C1513" t="s">
        <v>302</v>
      </c>
      <c r="D1513" t="s">
        <v>155</v>
      </c>
      <c r="E1513">
        <v>64</v>
      </c>
      <c r="F1513">
        <v>18.545736995353881</v>
      </c>
      <c r="G1513">
        <v>9.2728684976769404</v>
      </c>
      <c r="H1513">
        <v>44616</v>
      </c>
    </row>
    <row r="1514" spans="1:12" x14ac:dyDescent="0.35">
      <c r="A1514" t="s">
        <v>447</v>
      </c>
      <c r="B1514" t="s">
        <v>476</v>
      </c>
      <c r="C1514" t="s">
        <v>302</v>
      </c>
      <c r="D1514" t="s">
        <v>155</v>
      </c>
      <c r="E1514">
        <v>17</v>
      </c>
      <c r="F1514">
        <v>48.86491485993114</v>
      </c>
      <c r="G1514">
        <v>24.43245742996557</v>
      </c>
      <c r="H1514">
        <v>44616</v>
      </c>
    </row>
    <row r="1515" spans="1:12" x14ac:dyDescent="0.35">
      <c r="A1515" t="s">
        <v>418</v>
      </c>
      <c r="B1515" t="s">
        <v>476</v>
      </c>
      <c r="C1515" t="s">
        <v>302</v>
      </c>
      <c r="D1515" t="s">
        <v>155</v>
      </c>
      <c r="E1515">
        <v>34</v>
      </c>
      <c r="F1515">
        <v>86.464343735598533</v>
      </c>
      <c r="G1515">
        <v>43.232171867799266</v>
      </c>
      <c r="H1515">
        <v>44616</v>
      </c>
    </row>
    <row r="1516" spans="1:12" x14ac:dyDescent="0.35">
      <c r="A1516" t="s">
        <v>230</v>
      </c>
      <c r="B1516" t="s">
        <v>476</v>
      </c>
      <c r="C1516" t="s">
        <v>302</v>
      </c>
      <c r="D1516" t="s">
        <v>155</v>
      </c>
      <c r="E1516">
        <v>1535</v>
      </c>
      <c r="F1516">
        <v>673.66046576987901</v>
      </c>
      <c r="G1516">
        <v>336.83023288493951</v>
      </c>
      <c r="H1516">
        <v>44616</v>
      </c>
    </row>
    <row r="1517" spans="1:12" x14ac:dyDescent="0.35">
      <c r="A1517" t="s">
        <v>425</v>
      </c>
      <c r="B1517" t="s">
        <v>476</v>
      </c>
      <c r="C1517" t="s">
        <v>302</v>
      </c>
      <c r="D1517" t="s">
        <v>155</v>
      </c>
      <c r="E1517">
        <v>15</v>
      </c>
      <c r="F1517">
        <v>28.332944005378657</v>
      </c>
      <c r="G1517">
        <v>14.166472002689328</v>
      </c>
      <c r="H1517">
        <v>44616</v>
      </c>
    </row>
    <row r="1518" spans="1:12" x14ac:dyDescent="0.35">
      <c r="A1518" t="s">
        <v>366</v>
      </c>
      <c r="B1518" t="s">
        <v>476</v>
      </c>
      <c r="C1518" t="s">
        <v>302</v>
      </c>
      <c r="D1518" t="s">
        <v>155</v>
      </c>
      <c r="E1518">
        <v>4</v>
      </c>
      <c r="F1518">
        <v>0.83539270127357879</v>
      </c>
      <c r="G1518">
        <v>0.41769635063678939</v>
      </c>
      <c r="H1518">
        <v>44616</v>
      </c>
      <c r="L1518">
        <v>45442</v>
      </c>
    </row>
    <row r="1519" spans="1:12" x14ac:dyDescent="0.35">
      <c r="A1519" t="s">
        <v>332</v>
      </c>
      <c r="B1519" t="s">
        <v>476</v>
      </c>
      <c r="C1519" t="s">
        <v>302</v>
      </c>
      <c r="D1519" t="s">
        <v>155</v>
      </c>
      <c r="E1519">
        <v>844</v>
      </c>
      <c r="F1519">
        <v>2290.7785960865062</v>
      </c>
      <c r="G1519">
        <v>916.31143843460256</v>
      </c>
      <c r="H1519">
        <v>44616</v>
      </c>
    </row>
    <row r="1520" spans="1:12" x14ac:dyDescent="0.35">
      <c r="A1520" t="s">
        <v>314</v>
      </c>
      <c r="B1520" t="s">
        <v>476</v>
      </c>
      <c r="C1520" t="s">
        <v>302</v>
      </c>
      <c r="D1520" t="s">
        <v>155</v>
      </c>
      <c r="E1520">
        <v>305</v>
      </c>
      <c r="F1520">
        <v>807.20245273035266</v>
      </c>
      <c r="G1520">
        <v>242.16073581910581</v>
      </c>
      <c r="H1520">
        <v>44616</v>
      </c>
      <c r="J1520">
        <v>44634</v>
      </c>
      <c r="K1520" t="s">
        <v>480</v>
      </c>
      <c r="L1520">
        <v>44691</v>
      </c>
    </row>
    <row r="1521" spans="1:12" x14ac:dyDescent="0.35">
      <c r="A1521" t="s">
        <v>30</v>
      </c>
      <c r="B1521" t="s">
        <v>476</v>
      </c>
      <c r="C1521" t="s">
        <v>302</v>
      </c>
      <c r="D1521" t="s">
        <v>155</v>
      </c>
      <c r="E1521">
        <v>173</v>
      </c>
      <c r="F1521">
        <v>48.037016803608545</v>
      </c>
      <c r="G1521">
        <v>24.018508401804272</v>
      </c>
      <c r="H1521">
        <v>44616</v>
      </c>
    </row>
    <row r="1522" spans="1:12" x14ac:dyDescent="0.35">
      <c r="A1522" t="s">
        <v>347</v>
      </c>
      <c r="B1522" t="s">
        <v>476</v>
      </c>
      <c r="C1522" t="s">
        <v>302</v>
      </c>
      <c r="D1522" t="s">
        <v>155</v>
      </c>
      <c r="E1522">
        <v>11</v>
      </c>
      <c r="F1522">
        <v>19.661674432766798</v>
      </c>
      <c r="G1522">
        <v>5.8985023298300385</v>
      </c>
      <c r="H1522">
        <v>44616</v>
      </c>
    </row>
    <row r="1523" spans="1:12" x14ac:dyDescent="0.35">
      <c r="A1523" t="s">
        <v>420</v>
      </c>
      <c r="B1523" t="s">
        <v>476</v>
      </c>
      <c r="C1523" t="s">
        <v>302</v>
      </c>
      <c r="D1523" t="s">
        <v>155</v>
      </c>
      <c r="E1523">
        <v>22</v>
      </c>
      <c r="F1523">
        <v>14.856153897120311</v>
      </c>
      <c r="G1523">
        <v>7.4280769485601557</v>
      </c>
      <c r="H1523">
        <v>44616</v>
      </c>
    </row>
    <row r="1524" spans="1:12" x14ac:dyDescent="0.35">
      <c r="A1524" t="s">
        <v>464</v>
      </c>
      <c r="B1524" t="s">
        <v>476</v>
      </c>
      <c r="C1524" t="s">
        <v>302</v>
      </c>
      <c r="D1524" t="s">
        <v>155</v>
      </c>
      <c r="E1524">
        <v>62</v>
      </c>
      <c r="F1524">
        <v>68.471687625600595</v>
      </c>
      <c r="G1524">
        <v>34.235843812800297</v>
      </c>
      <c r="H1524">
        <v>44616</v>
      </c>
    </row>
    <row r="1525" spans="1:12" x14ac:dyDescent="0.35">
      <c r="A1525" t="s">
        <v>388</v>
      </c>
      <c r="B1525" t="s">
        <v>476</v>
      </c>
      <c r="C1525" t="s">
        <v>302</v>
      </c>
      <c r="D1525" t="s">
        <v>155</v>
      </c>
      <c r="E1525">
        <v>21573</v>
      </c>
      <c r="F1525">
        <v>54459.927898603382</v>
      </c>
      <c r="G1525">
        <v>27229.963949301691</v>
      </c>
      <c r="H1525">
        <v>44616</v>
      </c>
      <c r="J1525">
        <v>44634</v>
      </c>
      <c r="K1525" t="s">
        <v>479</v>
      </c>
      <c r="L1525">
        <v>44642</v>
      </c>
    </row>
    <row r="1526" spans="1:12" x14ac:dyDescent="0.35">
      <c r="A1526" t="s">
        <v>436</v>
      </c>
      <c r="B1526" t="s">
        <v>476</v>
      </c>
      <c r="C1526" t="s">
        <v>302</v>
      </c>
      <c r="D1526" t="s">
        <v>155</v>
      </c>
      <c r="E1526">
        <v>2375</v>
      </c>
      <c r="F1526">
        <v>1153.8126352908482</v>
      </c>
      <c r="G1526">
        <v>576.90631764542411</v>
      </c>
      <c r="H1526">
        <v>44616</v>
      </c>
      <c r="L1526">
        <v>45261</v>
      </c>
    </row>
    <row r="1527" spans="1:12" x14ac:dyDescent="0.35">
      <c r="A1527" t="s">
        <v>359</v>
      </c>
      <c r="B1527" t="s">
        <v>476</v>
      </c>
      <c r="C1527" t="s">
        <v>302</v>
      </c>
      <c r="D1527" t="s">
        <v>155</v>
      </c>
      <c r="E1527">
        <v>45</v>
      </c>
      <c r="F1527">
        <v>43.518785810609145</v>
      </c>
      <c r="G1527">
        <v>21.759392905304573</v>
      </c>
      <c r="H1527">
        <v>44616</v>
      </c>
    </row>
    <row r="1528" spans="1:12" x14ac:dyDescent="0.35">
      <c r="A1528" t="s">
        <v>190</v>
      </c>
      <c r="B1528" t="s">
        <v>476</v>
      </c>
      <c r="C1528" t="s">
        <v>302</v>
      </c>
      <c r="D1528" t="s">
        <v>155</v>
      </c>
      <c r="E1528">
        <v>150776</v>
      </c>
      <c r="F1528">
        <v>32497.618025312255</v>
      </c>
      <c r="G1528">
        <v>16248.809012656127</v>
      </c>
      <c r="H1528">
        <v>44616</v>
      </c>
      <c r="L1528">
        <v>44949</v>
      </c>
    </row>
    <row r="1529" spans="1:12" x14ac:dyDescent="0.35">
      <c r="A1529" t="s">
        <v>162</v>
      </c>
      <c r="B1529" t="s">
        <v>476</v>
      </c>
      <c r="C1529" t="s">
        <v>302</v>
      </c>
      <c r="D1529" t="s">
        <v>155</v>
      </c>
      <c r="E1529">
        <v>94</v>
      </c>
      <c r="F1529">
        <v>208.61979798735214</v>
      </c>
      <c r="G1529">
        <v>125.17187879241126</v>
      </c>
      <c r="H1529">
        <v>44616</v>
      </c>
      <c r="L1529">
        <v>44736</v>
      </c>
    </row>
    <row r="1530" spans="1:12" x14ac:dyDescent="0.35">
      <c r="A1530" t="s">
        <v>452</v>
      </c>
      <c r="B1530" t="s">
        <v>476</v>
      </c>
      <c r="C1530" t="s">
        <v>302</v>
      </c>
      <c r="D1530" t="s">
        <v>155</v>
      </c>
      <c r="E1530">
        <v>18793</v>
      </c>
      <c r="F1530">
        <v>9729.6067024317035</v>
      </c>
      <c r="G1530">
        <v>4864.8033512158518</v>
      </c>
      <c r="H1530">
        <v>44616</v>
      </c>
      <c r="J1530">
        <v>44634</v>
      </c>
      <c r="K1530" t="s">
        <v>479</v>
      </c>
      <c r="L1530">
        <v>44680</v>
      </c>
    </row>
    <row r="1531" spans="1:12" x14ac:dyDescent="0.35">
      <c r="A1531" t="s">
        <v>422</v>
      </c>
      <c r="B1531" t="s">
        <v>476</v>
      </c>
      <c r="C1531" t="s">
        <v>302</v>
      </c>
      <c r="D1531" t="s">
        <v>155</v>
      </c>
      <c r="E1531">
        <v>1113</v>
      </c>
      <c r="F1531">
        <v>273.67897821302927</v>
      </c>
      <c r="G1531">
        <v>164.21</v>
      </c>
      <c r="H1531">
        <v>44616</v>
      </c>
    </row>
    <row r="1532" spans="1:12" x14ac:dyDescent="0.35">
      <c r="A1532" t="s">
        <v>457</v>
      </c>
      <c r="B1532" t="s">
        <v>476</v>
      </c>
      <c r="C1532" t="s">
        <v>302</v>
      </c>
      <c r="D1532" t="s">
        <v>155</v>
      </c>
      <c r="E1532">
        <v>122965</v>
      </c>
      <c r="F1532">
        <v>25571.009310670681</v>
      </c>
      <c r="G1532">
        <v>12785.50465533534</v>
      </c>
      <c r="H1532">
        <v>44616</v>
      </c>
      <c r="L1532">
        <v>44719</v>
      </c>
    </row>
    <row r="1533" spans="1:12" x14ac:dyDescent="0.35">
      <c r="A1533" t="s">
        <v>481</v>
      </c>
      <c r="B1533" t="s">
        <v>476</v>
      </c>
      <c r="C1533" t="s">
        <v>302</v>
      </c>
      <c r="D1533" t="s">
        <v>155</v>
      </c>
      <c r="E1533">
        <v>765</v>
      </c>
      <c r="F1533">
        <v>976.86655488823146</v>
      </c>
      <c r="G1533">
        <v>488.43327744411573</v>
      </c>
      <c r="H1533">
        <v>44616</v>
      </c>
    </row>
    <row r="1534" spans="1:12" x14ac:dyDescent="0.35">
      <c r="A1534" t="s">
        <v>390</v>
      </c>
      <c r="B1534" t="s">
        <v>476</v>
      </c>
      <c r="C1534" t="s">
        <v>302</v>
      </c>
      <c r="D1534" t="s">
        <v>155</v>
      </c>
      <c r="E1534">
        <v>11554</v>
      </c>
      <c r="F1534">
        <v>2849.0916292385309</v>
      </c>
      <c r="G1534">
        <v>1424.5458146192655</v>
      </c>
      <c r="H1534">
        <v>44616</v>
      </c>
      <c r="J1534">
        <v>44634</v>
      </c>
      <c r="K1534" t="s">
        <v>480</v>
      </c>
      <c r="L1534">
        <v>45055</v>
      </c>
    </row>
    <row r="1535" spans="1:12" x14ac:dyDescent="0.35">
      <c r="A1535" t="s">
        <v>482</v>
      </c>
      <c r="B1535" t="s">
        <v>476</v>
      </c>
      <c r="C1535" t="s">
        <v>302</v>
      </c>
      <c r="D1535" t="s">
        <v>155</v>
      </c>
      <c r="E1535">
        <v>47</v>
      </c>
      <c r="F1535">
        <v>9.5218403698582765</v>
      </c>
      <c r="G1535">
        <v>4.7609201849291383</v>
      </c>
      <c r="H1535">
        <v>44616</v>
      </c>
    </row>
    <row r="1536" spans="1:12" x14ac:dyDescent="0.35">
      <c r="A1536" t="s">
        <v>450</v>
      </c>
      <c r="B1536" t="s">
        <v>476</v>
      </c>
      <c r="C1536" t="s">
        <v>302</v>
      </c>
      <c r="D1536" t="s">
        <v>155</v>
      </c>
      <c r="E1536">
        <v>17441</v>
      </c>
      <c r="F1536">
        <v>7895.694043948648</v>
      </c>
      <c r="G1536">
        <v>3947.847021974324</v>
      </c>
      <c r="H1536">
        <v>44616</v>
      </c>
      <c r="L1536">
        <v>44887</v>
      </c>
    </row>
    <row r="1537" spans="1:12" x14ac:dyDescent="0.35">
      <c r="A1537" t="s">
        <v>283</v>
      </c>
      <c r="B1537" t="s">
        <v>476</v>
      </c>
      <c r="C1537" t="s">
        <v>302</v>
      </c>
      <c r="D1537" t="s">
        <v>155</v>
      </c>
      <c r="E1537">
        <v>43003</v>
      </c>
      <c r="F1537">
        <v>9266.4096390267023</v>
      </c>
      <c r="G1537">
        <v>4633.2048195133511</v>
      </c>
      <c r="H1537">
        <v>44616</v>
      </c>
      <c r="J1537">
        <v>44634</v>
      </c>
      <c r="K1537" t="s">
        <v>483</v>
      </c>
      <c r="L1537">
        <v>44691</v>
      </c>
    </row>
    <row r="1538" spans="1:12" x14ac:dyDescent="0.35">
      <c r="A1538" t="s">
        <v>306</v>
      </c>
      <c r="B1538" t="s">
        <v>476</v>
      </c>
      <c r="C1538" t="s">
        <v>302</v>
      </c>
      <c r="D1538" t="s">
        <v>155</v>
      </c>
      <c r="E1538">
        <v>68042</v>
      </c>
      <c r="F1538">
        <v>14260.182078503416</v>
      </c>
      <c r="G1538">
        <v>7130.091039251708</v>
      </c>
      <c r="H1538">
        <v>44616</v>
      </c>
      <c r="J1538">
        <v>44634</v>
      </c>
      <c r="K1538" t="s">
        <v>483</v>
      </c>
      <c r="L1538">
        <v>44691</v>
      </c>
    </row>
    <row r="1539" spans="1:12" x14ac:dyDescent="0.35">
      <c r="A1539" t="s">
        <v>456</v>
      </c>
      <c r="B1539" t="s">
        <v>476</v>
      </c>
      <c r="C1539" t="s">
        <v>302</v>
      </c>
      <c r="D1539" t="s">
        <v>155</v>
      </c>
      <c r="E1539">
        <v>350</v>
      </c>
      <c r="F1539">
        <v>142.15484414488574</v>
      </c>
      <c r="G1539">
        <v>71.077422072442872</v>
      </c>
      <c r="H1539">
        <v>44616</v>
      </c>
    </row>
    <row r="1540" spans="1:12" x14ac:dyDescent="0.35">
      <c r="A1540" t="s">
        <v>441</v>
      </c>
      <c r="B1540" t="s">
        <v>476</v>
      </c>
      <c r="C1540" t="s">
        <v>302</v>
      </c>
      <c r="D1540" t="s">
        <v>155</v>
      </c>
      <c r="E1540">
        <v>54</v>
      </c>
      <c r="F1540">
        <v>42.592088516216279</v>
      </c>
      <c r="G1540">
        <v>21.29604425810814</v>
      </c>
      <c r="H1540">
        <v>44616</v>
      </c>
    </row>
    <row r="1541" spans="1:12" x14ac:dyDescent="0.35">
      <c r="A1541" t="s">
        <v>193</v>
      </c>
      <c r="B1541" t="s">
        <v>476</v>
      </c>
      <c r="C1541" t="s">
        <v>302</v>
      </c>
      <c r="D1541" t="s">
        <v>155</v>
      </c>
      <c r="E1541">
        <v>43</v>
      </c>
      <c r="F1541">
        <v>16.279680446159741</v>
      </c>
      <c r="G1541">
        <v>8.1398402230798705</v>
      </c>
      <c r="H1541">
        <v>44616</v>
      </c>
    </row>
    <row r="1542" spans="1:12" x14ac:dyDescent="0.35">
      <c r="A1542" t="s">
        <v>186</v>
      </c>
      <c r="B1542" t="s">
        <v>476</v>
      </c>
      <c r="C1542" t="s">
        <v>302</v>
      </c>
      <c r="D1542" t="s">
        <v>155</v>
      </c>
      <c r="E1542">
        <v>18</v>
      </c>
      <c r="F1542">
        <v>3.5161872509230498</v>
      </c>
      <c r="G1542">
        <v>1.7580936254615249</v>
      </c>
      <c r="H1542">
        <v>44616</v>
      </c>
    </row>
    <row r="1543" spans="1:12" x14ac:dyDescent="0.35">
      <c r="A1543" t="s">
        <v>268</v>
      </c>
      <c r="B1543" t="s">
        <v>476</v>
      </c>
      <c r="C1543" t="s">
        <v>302</v>
      </c>
      <c r="D1543" t="s">
        <v>155</v>
      </c>
      <c r="E1543">
        <v>405</v>
      </c>
      <c r="F1543">
        <v>368.31575486295969</v>
      </c>
      <c r="G1543">
        <v>147.32630194518384</v>
      </c>
      <c r="H1543">
        <v>44616</v>
      </c>
    </row>
    <row r="1544" spans="1:12" x14ac:dyDescent="0.35">
      <c r="A1544" t="s">
        <v>440</v>
      </c>
      <c r="B1544" t="s">
        <v>476</v>
      </c>
      <c r="C1544" t="s">
        <v>302</v>
      </c>
      <c r="D1544" t="s">
        <v>155</v>
      </c>
      <c r="E1544">
        <v>500</v>
      </c>
      <c r="F1544">
        <v>1219.3310692542773</v>
      </c>
      <c r="G1544">
        <v>609.66553462713864</v>
      </c>
      <c r="H1544">
        <v>44616</v>
      </c>
    </row>
    <row r="1545" spans="1:12" x14ac:dyDescent="0.35">
      <c r="A1545" t="s">
        <v>400</v>
      </c>
      <c r="B1545" t="s">
        <v>476</v>
      </c>
      <c r="C1545" t="s">
        <v>302</v>
      </c>
      <c r="D1545" t="s">
        <v>155</v>
      </c>
      <c r="E1545">
        <v>939610</v>
      </c>
      <c r="F1545">
        <v>197456.1718951324</v>
      </c>
      <c r="G1545">
        <v>128346.51173183651</v>
      </c>
      <c r="H1545">
        <v>44616</v>
      </c>
      <c r="L1545">
        <v>44680</v>
      </c>
    </row>
    <row r="1546" spans="1:12" x14ac:dyDescent="0.35">
      <c r="A1546" t="s">
        <v>193</v>
      </c>
      <c r="B1546" t="s">
        <v>372</v>
      </c>
      <c r="C1546" t="s">
        <v>240</v>
      </c>
      <c r="D1546" t="s">
        <v>155</v>
      </c>
      <c r="E1546">
        <v>1</v>
      </c>
      <c r="F1546">
        <v>0.13036178290843972</v>
      </c>
      <c r="G1546">
        <v>6.5180891454219861E-2</v>
      </c>
    </row>
    <row r="1547" spans="1:12" x14ac:dyDescent="0.35">
      <c r="A1547" t="s">
        <v>193</v>
      </c>
      <c r="B1547" t="s">
        <v>484</v>
      </c>
      <c r="C1547" t="s">
        <v>240</v>
      </c>
      <c r="D1547" t="s">
        <v>155</v>
      </c>
      <c r="E1547">
        <v>2</v>
      </c>
      <c r="F1547">
        <v>0.32234252035617805</v>
      </c>
      <c r="G1547">
        <v>0.16117126017808903</v>
      </c>
    </row>
    <row r="1548" spans="1:12" x14ac:dyDescent="0.35">
      <c r="A1548" t="s">
        <v>193</v>
      </c>
      <c r="B1548" t="s">
        <v>485</v>
      </c>
      <c r="C1548" t="s">
        <v>240</v>
      </c>
      <c r="D1548" t="s">
        <v>155</v>
      </c>
      <c r="E1548">
        <v>1</v>
      </c>
      <c r="F1548">
        <v>0.13036178290843972</v>
      </c>
      <c r="G1548">
        <v>6.5180891454219861E-2</v>
      </c>
    </row>
    <row r="1549" spans="1:12" x14ac:dyDescent="0.35">
      <c r="A1549" t="s">
        <v>193</v>
      </c>
      <c r="B1549" t="s">
        <v>486</v>
      </c>
      <c r="C1549" t="s">
        <v>240</v>
      </c>
      <c r="D1549" t="s">
        <v>155</v>
      </c>
      <c r="E1549">
        <v>9</v>
      </c>
      <c r="F1549">
        <v>2.198302609473465</v>
      </c>
      <c r="G1549">
        <v>1.0991513047367325</v>
      </c>
    </row>
    <row r="1550" spans="1:12" x14ac:dyDescent="0.35">
      <c r="A1550" t="s">
        <v>193</v>
      </c>
      <c r="B1550" t="s">
        <v>487</v>
      </c>
      <c r="C1550" t="s">
        <v>296</v>
      </c>
      <c r="D1550" t="s">
        <v>155</v>
      </c>
      <c r="E1550">
        <v>2</v>
      </c>
      <c r="F1550">
        <v>0.588682323314065</v>
      </c>
      <c r="G1550">
        <v>0.2943411616570325</v>
      </c>
    </row>
    <row r="1551" spans="1:12" x14ac:dyDescent="0.35">
      <c r="A1551" t="s">
        <v>193</v>
      </c>
      <c r="B1551" t="s">
        <v>467</v>
      </c>
      <c r="C1551" t="s">
        <v>296</v>
      </c>
      <c r="D1551" t="s">
        <v>155</v>
      </c>
      <c r="E1551">
        <v>3</v>
      </c>
      <c r="F1551">
        <v>0.72798648796174925</v>
      </c>
      <c r="G1551">
        <v>0.36399324398087463</v>
      </c>
    </row>
    <row r="1552" spans="1:12" x14ac:dyDescent="0.35">
      <c r="A1552" t="s">
        <v>193</v>
      </c>
      <c r="B1552" t="s">
        <v>488</v>
      </c>
      <c r="C1552" t="s">
        <v>296</v>
      </c>
      <c r="D1552" t="s">
        <v>155</v>
      </c>
      <c r="E1552">
        <v>4</v>
      </c>
      <c r="F1552">
        <v>0.74368464832897396</v>
      </c>
      <c r="G1552">
        <v>0.37184232416448698</v>
      </c>
    </row>
    <row r="1553" spans="1:7" x14ac:dyDescent="0.35">
      <c r="A1553" t="s">
        <v>193</v>
      </c>
      <c r="B1553" t="s">
        <v>469</v>
      </c>
      <c r="C1553" t="s">
        <v>296</v>
      </c>
      <c r="D1553" t="s">
        <v>155</v>
      </c>
      <c r="E1553">
        <v>1</v>
      </c>
      <c r="F1553">
        <v>0.19606476236950779</v>
      </c>
      <c r="G1553">
        <v>9.8032381184753895E-2</v>
      </c>
    </row>
    <row r="1554" spans="1:7" x14ac:dyDescent="0.35">
      <c r="A1554" t="s">
        <v>193</v>
      </c>
      <c r="B1554" t="s">
        <v>489</v>
      </c>
      <c r="C1554" t="s">
        <v>296</v>
      </c>
      <c r="D1554" t="s">
        <v>155</v>
      </c>
      <c r="E1554">
        <v>7</v>
      </c>
      <c r="F1554">
        <v>0.84</v>
      </c>
      <c r="G1554">
        <v>0.42</v>
      </c>
    </row>
    <row r="1555" spans="1:7" x14ac:dyDescent="0.35">
      <c r="A1555" t="s">
        <v>193</v>
      </c>
      <c r="B1555" t="s">
        <v>490</v>
      </c>
      <c r="C1555" t="s">
        <v>296</v>
      </c>
      <c r="D1555" t="s">
        <v>155</v>
      </c>
      <c r="E1555">
        <v>8</v>
      </c>
      <c r="F1555">
        <v>0.96</v>
      </c>
      <c r="G1555">
        <v>0.48</v>
      </c>
    </row>
    <row r="1556" spans="1:7" x14ac:dyDescent="0.35">
      <c r="A1556" t="s">
        <v>193</v>
      </c>
      <c r="B1556" t="s">
        <v>484</v>
      </c>
      <c r="C1556" t="s">
        <v>296</v>
      </c>
      <c r="D1556" t="s">
        <v>155</v>
      </c>
      <c r="E1556">
        <v>1</v>
      </c>
      <c r="F1556">
        <v>0.12</v>
      </c>
      <c r="G1556">
        <v>0.06</v>
      </c>
    </row>
    <row r="1557" spans="1:7" x14ac:dyDescent="0.35">
      <c r="A1557" t="s">
        <v>193</v>
      </c>
      <c r="B1557" t="s">
        <v>485</v>
      </c>
      <c r="C1557" t="s">
        <v>296</v>
      </c>
      <c r="D1557" t="s">
        <v>155</v>
      </c>
      <c r="E1557">
        <v>2</v>
      </c>
      <c r="F1557">
        <v>0.24</v>
      </c>
      <c r="G1557">
        <v>0.12</v>
      </c>
    </row>
    <row r="1558" spans="1:7" x14ac:dyDescent="0.35">
      <c r="A1558" t="s">
        <v>193</v>
      </c>
      <c r="B1558" t="s">
        <v>491</v>
      </c>
      <c r="C1558" t="s">
        <v>296</v>
      </c>
      <c r="D1558" t="s">
        <v>155</v>
      </c>
      <c r="E1558">
        <v>4</v>
      </c>
      <c r="F1558">
        <v>0.48</v>
      </c>
      <c r="G1558">
        <v>0.24</v>
      </c>
    </row>
    <row r="1559" spans="1:7" x14ac:dyDescent="0.35">
      <c r="A1559" t="s">
        <v>193</v>
      </c>
      <c r="B1559" t="s">
        <v>371</v>
      </c>
      <c r="C1559" t="s">
        <v>250</v>
      </c>
      <c r="D1559" t="s">
        <v>155</v>
      </c>
      <c r="E1559">
        <v>6</v>
      </c>
      <c r="F1559">
        <v>0.49953839182853699</v>
      </c>
      <c r="G1559">
        <v>0.24976919591426849</v>
      </c>
    </row>
    <row r="1560" spans="1:7" x14ac:dyDescent="0.35">
      <c r="A1560" t="s">
        <v>193</v>
      </c>
      <c r="B1560" t="s">
        <v>492</v>
      </c>
      <c r="C1560" t="s">
        <v>246</v>
      </c>
      <c r="D1560" t="s">
        <v>155</v>
      </c>
      <c r="E1560">
        <v>2985</v>
      </c>
      <c r="F1560">
        <v>0.49953839182853699</v>
      </c>
      <c r="G1560">
        <v>254.9504786111651</v>
      </c>
    </row>
    <row r="1561" spans="1:7" x14ac:dyDescent="0.35">
      <c r="A1561" t="s">
        <v>193</v>
      </c>
      <c r="B1561" t="s">
        <v>465</v>
      </c>
      <c r="C1561" t="s">
        <v>246</v>
      </c>
      <c r="D1561" t="s">
        <v>155</v>
      </c>
      <c r="E1561">
        <v>903</v>
      </c>
      <c r="F1561">
        <v>0</v>
      </c>
      <c r="G1561">
        <v>90.3</v>
      </c>
    </row>
    <row r="1562" spans="1:7" x14ac:dyDescent="0.35">
      <c r="A1562" t="s">
        <v>193</v>
      </c>
      <c r="B1562" t="s">
        <v>466</v>
      </c>
      <c r="C1562" t="s">
        <v>246</v>
      </c>
      <c r="D1562" t="s">
        <v>155</v>
      </c>
      <c r="E1562">
        <v>1406</v>
      </c>
      <c r="F1562">
        <v>0</v>
      </c>
      <c r="G1562">
        <v>140.6</v>
      </c>
    </row>
    <row r="1563" spans="1:7" x14ac:dyDescent="0.35">
      <c r="A1563" t="s">
        <v>193</v>
      </c>
      <c r="B1563" t="s">
        <v>487</v>
      </c>
      <c r="C1563" t="s">
        <v>246</v>
      </c>
      <c r="D1563" t="s">
        <v>155</v>
      </c>
      <c r="E1563">
        <v>438</v>
      </c>
      <c r="F1563">
        <v>0</v>
      </c>
      <c r="G1563">
        <v>43.800000000000004</v>
      </c>
    </row>
    <row r="1564" spans="1:7" x14ac:dyDescent="0.35">
      <c r="A1564" t="s">
        <v>193</v>
      </c>
      <c r="B1564" t="s">
        <v>467</v>
      </c>
      <c r="C1564" t="s">
        <v>246</v>
      </c>
      <c r="D1564" t="s">
        <v>155</v>
      </c>
      <c r="E1564">
        <v>777</v>
      </c>
      <c r="F1564">
        <v>0</v>
      </c>
      <c r="G1564">
        <v>65.512416000000002</v>
      </c>
    </row>
    <row r="1565" spans="1:7" x14ac:dyDescent="0.35">
      <c r="A1565" t="s">
        <v>193</v>
      </c>
      <c r="B1565" t="s">
        <v>468</v>
      </c>
      <c r="C1565" t="s">
        <v>246</v>
      </c>
      <c r="D1565" t="s">
        <v>155</v>
      </c>
      <c r="E1565">
        <v>536</v>
      </c>
      <c r="F1565">
        <v>0</v>
      </c>
      <c r="G1565">
        <v>45.383906000000003</v>
      </c>
    </row>
    <row r="1566" spans="1:7" x14ac:dyDescent="0.35">
      <c r="A1566" t="s">
        <v>193</v>
      </c>
      <c r="B1566" t="s">
        <v>403</v>
      </c>
      <c r="C1566" t="s">
        <v>246</v>
      </c>
      <c r="D1566" t="s">
        <v>155</v>
      </c>
    </row>
    <row r="1567" spans="1:7" x14ac:dyDescent="0.35">
      <c r="A1567" t="s">
        <v>193</v>
      </c>
      <c r="B1567" t="s">
        <v>469</v>
      </c>
      <c r="C1567" t="s">
        <v>246</v>
      </c>
      <c r="D1567" t="s">
        <v>155</v>
      </c>
    </row>
    <row r="1568" spans="1:7" x14ac:dyDescent="0.35">
      <c r="A1568" t="s">
        <v>193</v>
      </c>
      <c r="B1568" t="s">
        <v>470</v>
      </c>
      <c r="C1568" t="s">
        <v>246</v>
      </c>
      <c r="D1568" t="s">
        <v>155</v>
      </c>
    </row>
    <row r="1569" spans="1:7" x14ac:dyDescent="0.35">
      <c r="A1569" t="s">
        <v>193</v>
      </c>
      <c r="B1569" t="s">
        <v>471</v>
      </c>
      <c r="C1569" t="s">
        <v>246</v>
      </c>
      <c r="D1569" t="s">
        <v>155</v>
      </c>
      <c r="E1569">
        <v>674</v>
      </c>
      <c r="F1569">
        <v>0</v>
      </c>
      <c r="G1569">
        <v>57.767659999999999</v>
      </c>
    </row>
    <row r="1570" spans="1:7" x14ac:dyDescent="0.35">
      <c r="A1570" t="s">
        <v>193</v>
      </c>
      <c r="B1570" t="s">
        <v>472</v>
      </c>
      <c r="C1570" t="s">
        <v>246</v>
      </c>
      <c r="D1570" t="s">
        <v>155</v>
      </c>
      <c r="E1570">
        <v>4998</v>
      </c>
      <c r="F1570">
        <v>0</v>
      </c>
      <c r="G1570">
        <v>429.47804000000002</v>
      </c>
    </row>
    <row r="1571" spans="1:7" x14ac:dyDescent="0.35">
      <c r="A1571" t="s">
        <v>193</v>
      </c>
      <c r="B1571" t="s">
        <v>473</v>
      </c>
      <c r="C1571" t="s">
        <v>246</v>
      </c>
      <c r="D1571" t="s">
        <v>155</v>
      </c>
      <c r="E1571">
        <v>1671</v>
      </c>
      <c r="F1571">
        <v>0</v>
      </c>
      <c r="G1571">
        <v>139.11867999999998</v>
      </c>
    </row>
    <row r="1572" spans="1:7" x14ac:dyDescent="0.35">
      <c r="A1572" t="s">
        <v>193</v>
      </c>
      <c r="B1572" t="s">
        <v>474</v>
      </c>
      <c r="C1572" t="s">
        <v>246</v>
      </c>
      <c r="D1572" t="s">
        <v>155</v>
      </c>
      <c r="E1572">
        <v>1692</v>
      </c>
      <c r="F1572">
        <v>0</v>
      </c>
      <c r="G1572">
        <v>140.13735999999997</v>
      </c>
    </row>
    <row r="1573" spans="1:7" x14ac:dyDescent="0.35">
      <c r="A1573" t="s">
        <v>193</v>
      </c>
      <c r="B1573" t="s">
        <v>493</v>
      </c>
      <c r="C1573" t="s">
        <v>246</v>
      </c>
      <c r="D1573" t="s">
        <v>155</v>
      </c>
      <c r="E1573">
        <v>198</v>
      </c>
      <c r="F1573">
        <v>0</v>
      </c>
      <c r="G1573">
        <v>17</v>
      </c>
    </row>
    <row r="1574" spans="1:7" x14ac:dyDescent="0.35">
      <c r="A1574" t="s">
        <v>193</v>
      </c>
      <c r="B1574" t="s">
        <v>494</v>
      </c>
      <c r="C1574" t="s">
        <v>246</v>
      </c>
      <c r="D1574" t="s">
        <v>155</v>
      </c>
      <c r="E1574">
        <v>148</v>
      </c>
      <c r="F1574">
        <v>0</v>
      </c>
      <c r="G1574">
        <v>12.682300000000001</v>
      </c>
    </row>
    <row r="1575" spans="1:7" x14ac:dyDescent="0.35">
      <c r="A1575" t="s">
        <v>193</v>
      </c>
      <c r="B1575" t="s">
        <v>495</v>
      </c>
      <c r="C1575" t="s">
        <v>246</v>
      </c>
      <c r="D1575" t="s">
        <v>155</v>
      </c>
      <c r="E1575">
        <v>134</v>
      </c>
      <c r="F1575">
        <v>0</v>
      </c>
      <c r="G1575">
        <v>12</v>
      </c>
    </row>
    <row r="1576" spans="1:7" x14ac:dyDescent="0.35">
      <c r="A1576" t="s">
        <v>193</v>
      </c>
      <c r="B1576" t="s">
        <v>484</v>
      </c>
      <c r="C1576" t="s">
        <v>246</v>
      </c>
      <c r="D1576" t="s">
        <v>155</v>
      </c>
      <c r="E1576">
        <v>117</v>
      </c>
      <c r="F1576">
        <v>0</v>
      </c>
      <c r="G1576">
        <v>10</v>
      </c>
    </row>
    <row r="1577" spans="1:7" x14ac:dyDescent="0.35">
      <c r="A1577" t="s">
        <v>193</v>
      </c>
      <c r="B1577" t="s">
        <v>485</v>
      </c>
      <c r="C1577" t="s">
        <v>246</v>
      </c>
      <c r="D1577" t="s">
        <v>155</v>
      </c>
      <c r="E1577">
        <v>93</v>
      </c>
      <c r="F1577">
        <v>0</v>
      </c>
      <c r="G1577">
        <v>8</v>
      </c>
    </row>
    <row r="1578" spans="1:7" x14ac:dyDescent="0.35">
      <c r="A1578" t="s">
        <v>193</v>
      </c>
      <c r="B1578" t="s">
        <v>496</v>
      </c>
      <c r="C1578" t="s">
        <v>246</v>
      </c>
      <c r="D1578" t="s">
        <v>155</v>
      </c>
      <c r="E1578">
        <v>147</v>
      </c>
      <c r="F1578">
        <v>0</v>
      </c>
      <c r="G1578">
        <v>13</v>
      </c>
    </row>
    <row r="1579" spans="1:7" x14ac:dyDescent="0.35">
      <c r="A1579" t="s">
        <v>193</v>
      </c>
      <c r="B1579" t="s">
        <v>486</v>
      </c>
      <c r="C1579" t="s">
        <v>246</v>
      </c>
      <c r="D1579" t="s">
        <v>155</v>
      </c>
      <c r="E1579">
        <v>66</v>
      </c>
      <c r="F1579">
        <v>0</v>
      </c>
      <c r="G1579">
        <v>6</v>
      </c>
    </row>
    <row r="1580" spans="1:7" x14ac:dyDescent="0.35">
      <c r="A1580" t="s">
        <v>193</v>
      </c>
      <c r="B1580" t="s">
        <v>497</v>
      </c>
      <c r="C1580" t="s">
        <v>246</v>
      </c>
      <c r="D1580" t="s">
        <v>155</v>
      </c>
      <c r="E1580">
        <v>28</v>
      </c>
      <c r="F1580">
        <v>0</v>
      </c>
      <c r="G1580">
        <v>2</v>
      </c>
    </row>
    <row r="1581" spans="1:7" x14ac:dyDescent="0.35">
      <c r="A1581" t="s">
        <v>193</v>
      </c>
      <c r="B1581" t="s">
        <v>498</v>
      </c>
      <c r="C1581" t="s">
        <v>499</v>
      </c>
      <c r="D1581" t="s">
        <v>155</v>
      </c>
      <c r="E1581">
        <v>2</v>
      </c>
      <c r="F1581">
        <v>0.48698779940605202</v>
      </c>
      <c r="G1581">
        <v>0.24349389970302601</v>
      </c>
    </row>
    <row r="1582" spans="1:7" x14ac:dyDescent="0.35">
      <c r="A1582" t="s">
        <v>193</v>
      </c>
      <c r="B1582" t="s">
        <v>500</v>
      </c>
      <c r="C1582" t="s">
        <v>499</v>
      </c>
      <c r="D1582" t="s">
        <v>155</v>
      </c>
      <c r="E1582">
        <v>22</v>
      </c>
      <c r="F1582">
        <v>0.53452306091785451</v>
      </c>
      <c r="G1582">
        <v>0.26726153045892725</v>
      </c>
    </row>
    <row r="1583" spans="1:7" x14ac:dyDescent="0.35">
      <c r="A1583" t="s">
        <v>193</v>
      </c>
      <c r="B1583" t="s">
        <v>501</v>
      </c>
      <c r="C1583" t="s">
        <v>499</v>
      </c>
      <c r="D1583" t="s">
        <v>155</v>
      </c>
      <c r="E1583">
        <v>2</v>
      </c>
      <c r="F1583">
        <v>1.1339951902627919E-2</v>
      </c>
      <c r="G1583">
        <v>5.6699759513139597E-3</v>
      </c>
    </row>
    <row r="1584" spans="1:7" x14ac:dyDescent="0.35">
      <c r="A1584" t="s">
        <v>193</v>
      </c>
      <c r="B1584" t="s">
        <v>485</v>
      </c>
      <c r="C1584" t="s">
        <v>499</v>
      </c>
      <c r="D1584" t="s">
        <v>155</v>
      </c>
      <c r="E1584">
        <v>1</v>
      </c>
      <c r="F1584">
        <v>4.5815446916967614E-3</v>
      </c>
      <c r="G1584">
        <v>2.2907723458483807E-3</v>
      </c>
    </row>
    <row r="1585" spans="1:12" x14ac:dyDescent="0.35">
      <c r="A1585" t="s">
        <v>456</v>
      </c>
      <c r="B1585" t="s">
        <v>497</v>
      </c>
      <c r="C1585" t="s">
        <v>246</v>
      </c>
      <c r="D1585" t="s">
        <v>155</v>
      </c>
      <c r="E1585">
        <v>8</v>
      </c>
      <c r="F1585">
        <v>0</v>
      </c>
      <c r="G1585">
        <v>0.36985999999999997</v>
      </c>
      <c r="H1585">
        <v>44679</v>
      </c>
    </row>
    <row r="1586" spans="1:12" x14ac:dyDescent="0.35">
      <c r="A1586" t="s">
        <v>456</v>
      </c>
      <c r="B1586" t="s">
        <v>502</v>
      </c>
      <c r="C1586" t="s">
        <v>246</v>
      </c>
      <c r="D1586" t="s">
        <v>155</v>
      </c>
      <c r="E1586">
        <v>31</v>
      </c>
      <c r="F1586">
        <v>0</v>
      </c>
      <c r="G1586">
        <v>1.3996300000000002</v>
      </c>
      <c r="H1586">
        <v>44679</v>
      </c>
    </row>
    <row r="1587" spans="1:12" x14ac:dyDescent="0.35">
      <c r="A1587" t="s">
        <v>475</v>
      </c>
      <c r="B1587" t="s">
        <v>503</v>
      </c>
      <c r="C1587" t="s">
        <v>302</v>
      </c>
      <c r="D1587" t="s">
        <v>155</v>
      </c>
      <c r="E1587">
        <v>22</v>
      </c>
      <c r="F1587">
        <v>17.619030765305382</v>
      </c>
      <c r="G1587">
        <v>8.8095153826526911</v>
      </c>
      <c r="H1587">
        <v>44635</v>
      </c>
    </row>
    <row r="1588" spans="1:12" x14ac:dyDescent="0.35">
      <c r="A1588" t="s">
        <v>435</v>
      </c>
      <c r="B1588" t="s">
        <v>503</v>
      </c>
      <c r="C1588" t="s">
        <v>302</v>
      </c>
      <c r="D1588" t="s">
        <v>155</v>
      </c>
      <c r="E1588">
        <v>4087</v>
      </c>
      <c r="F1588">
        <v>10228.301921676702</v>
      </c>
      <c r="G1588">
        <v>5114.1509608383512</v>
      </c>
      <c r="H1588">
        <v>44635</v>
      </c>
    </row>
    <row r="1589" spans="1:12" x14ac:dyDescent="0.35">
      <c r="A1589" t="s">
        <v>381</v>
      </c>
      <c r="B1589" t="s">
        <v>503</v>
      </c>
      <c r="C1589" t="s">
        <v>302</v>
      </c>
      <c r="D1589" t="s">
        <v>155</v>
      </c>
      <c r="E1589">
        <v>1</v>
      </c>
      <c r="F1589">
        <v>2.7243836202200113</v>
      </c>
      <c r="G1589">
        <v>1.0897534480880047</v>
      </c>
      <c r="H1589">
        <v>44635</v>
      </c>
    </row>
    <row r="1590" spans="1:12" x14ac:dyDescent="0.35">
      <c r="A1590" t="s">
        <v>428</v>
      </c>
      <c r="B1590" t="s">
        <v>503</v>
      </c>
      <c r="C1590" t="s">
        <v>302</v>
      </c>
      <c r="D1590" t="s">
        <v>155</v>
      </c>
      <c r="E1590">
        <v>3211</v>
      </c>
      <c r="F1590">
        <v>832.38716753252356</v>
      </c>
      <c r="G1590">
        <v>416.19358376626178</v>
      </c>
      <c r="H1590">
        <v>44635</v>
      </c>
    </row>
    <row r="1591" spans="1:12" x14ac:dyDescent="0.35">
      <c r="A1591" t="s">
        <v>463</v>
      </c>
      <c r="B1591" t="s">
        <v>503</v>
      </c>
      <c r="C1591" t="s">
        <v>302</v>
      </c>
      <c r="D1591" t="s">
        <v>155</v>
      </c>
      <c r="E1591">
        <v>371</v>
      </c>
      <c r="F1591">
        <v>383.26014892145434</v>
      </c>
      <c r="G1591">
        <v>191.63007446072717</v>
      </c>
      <c r="H1591">
        <v>44635</v>
      </c>
      <c r="J1591">
        <v>44694</v>
      </c>
      <c r="K1591" t="s">
        <v>504</v>
      </c>
      <c r="L1591">
        <v>44753</v>
      </c>
    </row>
    <row r="1592" spans="1:12" x14ac:dyDescent="0.35">
      <c r="A1592" t="s">
        <v>383</v>
      </c>
      <c r="B1592" t="s">
        <v>503</v>
      </c>
      <c r="C1592" t="s">
        <v>302</v>
      </c>
      <c r="D1592" t="s">
        <v>155</v>
      </c>
      <c r="E1592">
        <v>423</v>
      </c>
      <c r="F1592">
        <v>1207.7189775462218</v>
      </c>
      <c r="G1592">
        <v>483.08759101848898</v>
      </c>
      <c r="H1592">
        <v>44635</v>
      </c>
      <c r="L1592">
        <v>45063</v>
      </c>
    </row>
    <row r="1593" spans="1:12" x14ac:dyDescent="0.35">
      <c r="A1593" t="s">
        <v>357</v>
      </c>
      <c r="B1593" t="s">
        <v>503</v>
      </c>
      <c r="C1593" t="s">
        <v>302</v>
      </c>
      <c r="D1593" t="s">
        <v>155</v>
      </c>
      <c r="E1593">
        <v>49</v>
      </c>
      <c r="F1593">
        <v>135.97473840381207</v>
      </c>
      <c r="G1593">
        <v>67.987369201906034</v>
      </c>
      <c r="H1593">
        <v>44635</v>
      </c>
    </row>
    <row r="1594" spans="1:12" x14ac:dyDescent="0.35">
      <c r="A1594" t="s">
        <v>375</v>
      </c>
      <c r="B1594" t="s">
        <v>503</v>
      </c>
      <c r="C1594" t="s">
        <v>302</v>
      </c>
      <c r="D1594" t="s">
        <v>155</v>
      </c>
      <c r="E1594">
        <v>238</v>
      </c>
      <c r="F1594">
        <v>522.92427108706704</v>
      </c>
      <c r="G1594">
        <v>261.46213554353352</v>
      </c>
      <c r="H1594">
        <v>44635</v>
      </c>
      <c r="L1594">
        <v>45133</v>
      </c>
    </row>
    <row r="1595" spans="1:12" x14ac:dyDescent="0.35">
      <c r="A1595" t="s">
        <v>405</v>
      </c>
      <c r="B1595" t="s">
        <v>503</v>
      </c>
      <c r="C1595" t="s">
        <v>302</v>
      </c>
      <c r="D1595" t="s">
        <v>155</v>
      </c>
      <c r="E1595">
        <v>19858</v>
      </c>
      <c r="F1595">
        <v>5111.4116154879139</v>
      </c>
      <c r="G1595">
        <v>2555.7058077439569</v>
      </c>
      <c r="H1595">
        <v>44635</v>
      </c>
      <c r="L1595">
        <v>45265</v>
      </c>
    </row>
    <row r="1596" spans="1:12" x14ac:dyDescent="0.35">
      <c r="A1596" t="s">
        <v>386</v>
      </c>
      <c r="B1596" t="s">
        <v>503</v>
      </c>
      <c r="C1596" t="s">
        <v>302</v>
      </c>
      <c r="D1596" t="s">
        <v>155</v>
      </c>
      <c r="E1596">
        <v>928</v>
      </c>
      <c r="F1596">
        <v>435.26531572686349</v>
      </c>
      <c r="G1596">
        <v>217.63265786343175</v>
      </c>
      <c r="H1596">
        <v>44635</v>
      </c>
      <c r="L1596">
        <v>45106</v>
      </c>
    </row>
    <row r="1597" spans="1:12" x14ac:dyDescent="0.35">
      <c r="A1597" t="s">
        <v>265</v>
      </c>
      <c r="B1597" t="s">
        <v>503</v>
      </c>
      <c r="C1597" t="s">
        <v>302</v>
      </c>
      <c r="D1597" t="s">
        <v>155</v>
      </c>
      <c r="E1597">
        <v>2</v>
      </c>
      <c r="F1597">
        <v>5.4487672404400227</v>
      </c>
      <c r="G1597">
        <v>2.7243836202200113</v>
      </c>
      <c r="H1597">
        <v>44635</v>
      </c>
    </row>
    <row r="1598" spans="1:12" x14ac:dyDescent="0.35">
      <c r="A1598" t="s">
        <v>477</v>
      </c>
      <c r="B1598" t="s">
        <v>503</v>
      </c>
      <c r="C1598" t="s">
        <v>302</v>
      </c>
      <c r="D1598" t="s">
        <v>155</v>
      </c>
      <c r="E1598">
        <v>4</v>
      </c>
      <c r="F1598">
        <v>20.05113887489718</v>
      </c>
      <c r="G1598">
        <v>10.02556943744859</v>
      </c>
      <c r="H1598">
        <v>44635</v>
      </c>
    </row>
    <row r="1599" spans="1:12" x14ac:dyDescent="0.35">
      <c r="A1599" t="s">
        <v>438</v>
      </c>
      <c r="B1599" t="s">
        <v>503</v>
      </c>
      <c r="C1599" t="s">
        <v>302</v>
      </c>
      <c r="D1599" t="s">
        <v>155</v>
      </c>
      <c r="E1599">
        <v>4</v>
      </c>
      <c r="F1599">
        <v>5.9613017359807365</v>
      </c>
      <c r="G1599">
        <v>2.9806508679903683</v>
      </c>
      <c r="H1599">
        <v>44635</v>
      </c>
    </row>
    <row r="1600" spans="1:12" x14ac:dyDescent="0.35">
      <c r="A1600" t="s">
        <v>326</v>
      </c>
      <c r="B1600" t="s">
        <v>503</v>
      </c>
      <c r="C1600" t="s">
        <v>302</v>
      </c>
      <c r="D1600" t="s">
        <v>155</v>
      </c>
      <c r="E1600">
        <v>1</v>
      </c>
      <c r="F1600">
        <v>0.49982915989148635</v>
      </c>
      <c r="G1600">
        <v>0.24991457994574318</v>
      </c>
      <c r="H1600">
        <v>44635</v>
      </c>
    </row>
    <row r="1601" spans="1:12" x14ac:dyDescent="0.35">
      <c r="A1601" t="s">
        <v>445</v>
      </c>
      <c r="B1601" t="s">
        <v>503</v>
      </c>
      <c r="C1601" t="s">
        <v>302</v>
      </c>
      <c r="D1601" t="s">
        <v>155</v>
      </c>
      <c r="E1601">
        <v>58</v>
      </c>
      <c r="F1601">
        <v>140.49685012399931</v>
      </c>
      <c r="G1601">
        <v>70.248425061999654</v>
      </c>
      <c r="H1601">
        <v>44635</v>
      </c>
    </row>
    <row r="1602" spans="1:12" x14ac:dyDescent="0.35">
      <c r="A1602" t="s">
        <v>478</v>
      </c>
      <c r="B1602" t="s">
        <v>503</v>
      </c>
      <c r="C1602" t="s">
        <v>302</v>
      </c>
      <c r="D1602" t="s">
        <v>155</v>
      </c>
      <c r="E1602">
        <v>109</v>
      </c>
      <c r="F1602">
        <v>107.9107508550062</v>
      </c>
      <c r="G1602">
        <v>53.9553754275031</v>
      </c>
      <c r="H1602">
        <v>44635</v>
      </c>
      <c r="J1602">
        <v>44694</v>
      </c>
      <c r="K1602" t="s">
        <v>504</v>
      </c>
      <c r="L1602">
        <v>44748</v>
      </c>
    </row>
    <row r="1603" spans="1:12" x14ac:dyDescent="0.35">
      <c r="A1603" t="s">
        <v>459</v>
      </c>
      <c r="B1603" t="s">
        <v>503</v>
      </c>
      <c r="C1603" t="s">
        <v>302</v>
      </c>
      <c r="D1603" t="s">
        <v>155</v>
      </c>
      <c r="E1603">
        <v>173908</v>
      </c>
      <c r="F1603">
        <v>47514.805373545838</v>
      </c>
      <c r="G1603">
        <v>23757.402686772919</v>
      </c>
      <c r="H1603">
        <v>44635</v>
      </c>
    </row>
    <row r="1604" spans="1:12" x14ac:dyDescent="0.35">
      <c r="A1604" t="s">
        <v>362</v>
      </c>
      <c r="B1604" t="s">
        <v>503</v>
      </c>
      <c r="C1604" t="s">
        <v>302</v>
      </c>
      <c r="D1604" t="s">
        <v>155</v>
      </c>
      <c r="E1604">
        <v>90</v>
      </c>
      <c r="F1604">
        <v>55.393127053298748</v>
      </c>
      <c r="G1604">
        <v>22.157250821319501</v>
      </c>
      <c r="H1604">
        <v>44635</v>
      </c>
    </row>
    <row r="1605" spans="1:12" x14ac:dyDescent="0.35">
      <c r="A1605" t="s">
        <v>446</v>
      </c>
      <c r="B1605" t="s">
        <v>503</v>
      </c>
      <c r="C1605" t="s">
        <v>302</v>
      </c>
      <c r="D1605" t="s">
        <v>155</v>
      </c>
      <c r="E1605">
        <v>6</v>
      </c>
      <c r="F1605">
        <v>1.5376034866221409</v>
      </c>
      <c r="G1605">
        <v>0.76880174331107043</v>
      </c>
      <c r="H1605">
        <v>44635</v>
      </c>
    </row>
    <row r="1606" spans="1:12" x14ac:dyDescent="0.35">
      <c r="A1606" t="s">
        <v>416</v>
      </c>
      <c r="B1606" t="s">
        <v>503</v>
      </c>
      <c r="C1606" t="s">
        <v>302</v>
      </c>
      <c r="D1606" t="s">
        <v>155</v>
      </c>
      <c r="E1606">
        <v>217</v>
      </c>
      <c r="F1606">
        <v>148.32012327558206</v>
      </c>
      <c r="G1606">
        <v>74.160061637791031</v>
      </c>
      <c r="H1606">
        <v>44635</v>
      </c>
    </row>
    <row r="1607" spans="1:12" x14ac:dyDescent="0.35">
      <c r="A1607" t="s">
        <v>417</v>
      </c>
      <c r="B1607" t="s">
        <v>503</v>
      </c>
      <c r="C1607" t="s">
        <v>302</v>
      </c>
      <c r="D1607" t="s">
        <v>155</v>
      </c>
      <c r="E1607">
        <v>1385</v>
      </c>
      <c r="F1607">
        <v>714.39250134525696</v>
      </c>
      <c r="G1607">
        <v>357.19625067262848</v>
      </c>
      <c r="H1607">
        <v>44635</v>
      </c>
    </row>
    <row r="1608" spans="1:12" x14ac:dyDescent="0.35">
      <c r="A1608" t="s">
        <v>387</v>
      </c>
      <c r="B1608" t="s">
        <v>503</v>
      </c>
      <c r="C1608" t="s">
        <v>302</v>
      </c>
      <c r="D1608" t="s">
        <v>155</v>
      </c>
      <c r="E1608">
        <v>74</v>
      </c>
      <c r="F1608">
        <v>36.971276678517363</v>
      </c>
      <c r="G1608">
        <v>22.182766007110423</v>
      </c>
      <c r="H1608">
        <v>44635</v>
      </c>
      <c r="L1608">
        <v>44904</v>
      </c>
    </row>
    <row r="1609" spans="1:12" x14ac:dyDescent="0.35">
      <c r="A1609" t="s">
        <v>329</v>
      </c>
      <c r="B1609" t="s">
        <v>503</v>
      </c>
      <c r="C1609" t="s">
        <v>302</v>
      </c>
      <c r="D1609" t="s">
        <v>155</v>
      </c>
      <c r="E1609">
        <v>14</v>
      </c>
      <c r="F1609">
        <v>35.441517039091281</v>
      </c>
      <c r="G1609">
        <v>17.72075851954564</v>
      </c>
      <c r="H1609">
        <v>44635</v>
      </c>
    </row>
    <row r="1610" spans="1:12" x14ac:dyDescent="0.35">
      <c r="A1610" t="s">
        <v>401</v>
      </c>
      <c r="B1610" t="s">
        <v>503</v>
      </c>
      <c r="C1610" t="s">
        <v>302</v>
      </c>
      <c r="D1610" t="s">
        <v>155</v>
      </c>
      <c r="E1610">
        <v>5336</v>
      </c>
      <c r="F1610">
        <v>1456.7931719756357</v>
      </c>
      <c r="G1610">
        <v>728.39658598781784</v>
      </c>
      <c r="H1610">
        <v>44635</v>
      </c>
    </row>
    <row r="1611" spans="1:12" x14ac:dyDescent="0.35">
      <c r="A1611" t="s">
        <v>458</v>
      </c>
      <c r="B1611" t="s">
        <v>503</v>
      </c>
      <c r="C1611" t="s">
        <v>302</v>
      </c>
      <c r="D1611" t="s">
        <v>155</v>
      </c>
      <c r="E1611">
        <v>25</v>
      </c>
      <c r="F1611">
        <v>6.4066811942589199</v>
      </c>
      <c r="G1611">
        <v>3.20334059712946</v>
      </c>
      <c r="H1611">
        <v>44635</v>
      </c>
    </row>
    <row r="1612" spans="1:12" x14ac:dyDescent="0.35">
      <c r="A1612" t="s">
        <v>447</v>
      </c>
      <c r="B1612" t="s">
        <v>503</v>
      </c>
      <c r="C1612" t="s">
        <v>302</v>
      </c>
      <c r="D1612" t="s">
        <v>155</v>
      </c>
      <c r="E1612">
        <v>7</v>
      </c>
      <c r="F1612">
        <v>11.666336224191117</v>
      </c>
      <c r="G1612">
        <v>5.8331681120955583</v>
      </c>
      <c r="H1612">
        <v>44635</v>
      </c>
    </row>
    <row r="1613" spans="1:12" x14ac:dyDescent="0.35">
      <c r="A1613" t="s">
        <v>418</v>
      </c>
      <c r="B1613" t="s">
        <v>503</v>
      </c>
      <c r="C1613" t="s">
        <v>302</v>
      </c>
      <c r="D1613" t="s">
        <v>155</v>
      </c>
      <c r="E1613">
        <v>6</v>
      </c>
      <c r="F1613">
        <v>16.346301721320067</v>
      </c>
      <c r="G1613">
        <v>8.1731508606600336</v>
      </c>
      <c r="H1613">
        <v>44635</v>
      </c>
    </row>
    <row r="1614" spans="1:12" x14ac:dyDescent="0.35">
      <c r="A1614" t="s">
        <v>230</v>
      </c>
      <c r="B1614" t="s">
        <v>503</v>
      </c>
      <c r="C1614" t="s">
        <v>302</v>
      </c>
      <c r="D1614" t="s">
        <v>155</v>
      </c>
      <c r="E1614">
        <v>34</v>
      </c>
      <c r="F1614">
        <v>104.13489521817755</v>
      </c>
      <c r="G1614">
        <v>52.067447609088774</v>
      </c>
      <c r="H1614">
        <v>44635</v>
      </c>
    </row>
    <row r="1615" spans="1:12" x14ac:dyDescent="0.35">
      <c r="A1615" t="s">
        <v>425</v>
      </c>
      <c r="B1615" t="s">
        <v>503</v>
      </c>
      <c r="C1615" t="s">
        <v>302</v>
      </c>
      <c r="D1615" t="s">
        <v>155</v>
      </c>
      <c r="E1615">
        <v>5</v>
      </c>
      <c r="F1615">
        <v>11.397363640771532</v>
      </c>
      <c r="G1615">
        <v>5.6986818203857661</v>
      </c>
      <c r="H1615">
        <v>44635</v>
      </c>
    </row>
    <row r="1616" spans="1:12" x14ac:dyDescent="0.35">
      <c r="A1616" t="s">
        <v>366</v>
      </c>
      <c r="B1616" t="s">
        <v>503</v>
      </c>
      <c r="C1616" t="s">
        <v>302</v>
      </c>
      <c r="D1616" t="s">
        <v>155</v>
      </c>
      <c r="E1616">
        <v>3</v>
      </c>
      <c r="F1616">
        <v>0.76880174331107043</v>
      </c>
      <c r="G1616">
        <v>0.38440087165553521</v>
      </c>
      <c r="H1616">
        <v>44635</v>
      </c>
      <c r="L1616">
        <v>45442</v>
      </c>
    </row>
    <row r="1617" spans="1:12" x14ac:dyDescent="0.35">
      <c r="A1617" t="s">
        <v>332</v>
      </c>
      <c r="B1617" t="s">
        <v>503</v>
      </c>
      <c r="C1617" t="s">
        <v>302</v>
      </c>
      <c r="D1617" t="s">
        <v>155</v>
      </c>
      <c r="E1617">
        <v>142</v>
      </c>
      <c r="F1617">
        <v>386.86247407124159</v>
      </c>
      <c r="G1617">
        <v>154.74498962849665</v>
      </c>
      <c r="H1617">
        <v>44635</v>
      </c>
    </row>
    <row r="1618" spans="1:12" x14ac:dyDescent="0.35">
      <c r="A1618" t="s">
        <v>314</v>
      </c>
      <c r="B1618" t="s">
        <v>503</v>
      </c>
      <c r="C1618" t="s">
        <v>302</v>
      </c>
      <c r="D1618" t="s">
        <v>155</v>
      </c>
      <c r="E1618">
        <v>49</v>
      </c>
      <c r="F1618">
        <v>147.1093353460366</v>
      </c>
      <c r="G1618">
        <v>44.132800603810992</v>
      </c>
      <c r="H1618">
        <v>44635</v>
      </c>
      <c r="J1618">
        <v>44694</v>
      </c>
      <c r="K1618" t="s">
        <v>505</v>
      </c>
      <c r="L1618">
        <v>45167</v>
      </c>
    </row>
    <row r="1619" spans="1:12" x14ac:dyDescent="0.35">
      <c r="A1619" t="s">
        <v>30</v>
      </c>
      <c r="B1619" t="s">
        <v>503</v>
      </c>
      <c r="C1619" t="s">
        <v>302</v>
      </c>
      <c r="D1619" t="s">
        <v>155</v>
      </c>
      <c r="E1619">
        <v>787</v>
      </c>
      <c r="F1619">
        <v>224.27845117637222</v>
      </c>
      <c r="G1619">
        <v>112.13922558818611</v>
      </c>
      <c r="H1619">
        <v>44635</v>
      </c>
    </row>
    <row r="1620" spans="1:12" x14ac:dyDescent="0.35">
      <c r="A1620" t="s">
        <v>347</v>
      </c>
      <c r="B1620" t="s">
        <v>503</v>
      </c>
      <c r="C1620" t="s">
        <v>302</v>
      </c>
      <c r="D1620" t="s">
        <v>155</v>
      </c>
      <c r="E1620">
        <v>4</v>
      </c>
      <c r="F1620">
        <v>1.0250689910814272</v>
      </c>
      <c r="G1620">
        <v>0.30752069732442816</v>
      </c>
      <c r="H1620">
        <v>44635</v>
      </c>
    </row>
    <row r="1621" spans="1:12" x14ac:dyDescent="0.35">
      <c r="A1621" t="s">
        <v>420</v>
      </c>
      <c r="B1621" t="s">
        <v>503</v>
      </c>
      <c r="C1621" t="s">
        <v>302</v>
      </c>
      <c r="D1621" t="s">
        <v>155</v>
      </c>
      <c r="E1621">
        <v>10</v>
      </c>
      <c r="F1621">
        <v>5.2743507622743522</v>
      </c>
      <c r="G1621">
        <v>2.6371753811371761</v>
      </c>
      <c r="H1621">
        <v>44635</v>
      </c>
    </row>
    <row r="1622" spans="1:12" x14ac:dyDescent="0.35">
      <c r="A1622" t="s">
        <v>464</v>
      </c>
      <c r="B1622" t="s">
        <v>503</v>
      </c>
      <c r="C1622" t="s">
        <v>302</v>
      </c>
      <c r="D1622" t="s">
        <v>155</v>
      </c>
      <c r="E1622">
        <v>10</v>
      </c>
      <c r="F1622">
        <v>2.5626724777035683</v>
      </c>
      <c r="G1622">
        <v>1.2813362388517842</v>
      </c>
      <c r="H1622">
        <v>44635</v>
      </c>
    </row>
    <row r="1623" spans="1:12" x14ac:dyDescent="0.35">
      <c r="A1623" t="s">
        <v>388</v>
      </c>
      <c r="B1623" t="s">
        <v>503</v>
      </c>
      <c r="C1623" t="s">
        <v>302</v>
      </c>
      <c r="D1623" t="s">
        <v>155</v>
      </c>
      <c r="E1623">
        <v>4402</v>
      </c>
      <c r="F1623">
        <v>12028.786571916795</v>
      </c>
      <c r="G1623">
        <v>6014.3932859583974</v>
      </c>
      <c r="H1623">
        <v>44635</v>
      </c>
      <c r="J1623">
        <v>44694</v>
      </c>
      <c r="K1623" t="s">
        <v>504</v>
      </c>
      <c r="L1623">
        <v>44727</v>
      </c>
    </row>
    <row r="1624" spans="1:12" x14ac:dyDescent="0.35">
      <c r="A1624" t="s">
        <v>436</v>
      </c>
      <c r="B1624" t="s">
        <v>503</v>
      </c>
      <c r="C1624" t="s">
        <v>302</v>
      </c>
      <c r="D1624" t="s">
        <v>155</v>
      </c>
      <c r="E1624">
        <v>508</v>
      </c>
      <c r="F1624">
        <v>290.61132607656873</v>
      </c>
      <c r="G1624">
        <v>145.30566303828437</v>
      </c>
      <c r="H1624">
        <v>44635</v>
      </c>
      <c r="L1624">
        <v>45261</v>
      </c>
    </row>
    <row r="1625" spans="1:12" x14ac:dyDescent="0.35">
      <c r="A1625" t="s">
        <v>359</v>
      </c>
      <c r="B1625" t="s">
        <v>503</v>
      </c>
      <c r="C1625" t="s">
        <v>302</v>
      </c>
      <c r="D1625" t="s">
        <v>155</v>
      </c>
      <c r="E1625">
        <v>12</v>
      </c>
      <c r="F1625">
        <v>3.0752069732442817</v>
      </c>
      <c r="G1625">
        <v>1.5376034866221409</v>
      </c>
      <c r="H1625">
        <v>44635</v>
      </c>
    </row>
    <row r="1626" spans="1:12" x14ac:dyDescent="0.35">
      <c r="A1626" t="s">
        <v>190</v>
      </c>
      <c r="B1626" t="s">
        <v>506</v>
      </c>
      <c r="C1626" t="s">
        <v>302</v>
      </c>
      <c r="D1626" t="s">
        <v>155</v>
      </c>
      <c r="E1626">
        <v>46840</v>
      </c>
      <c r="F1626">
        <v>12157.798311315533</v>
      </c>
      <c r="G1626">
        <v>6078.8991556577666</v>
      </c>
      <c r="H1626">
        <v>44635</v>
      </c>
      <c r="L1626">
        <v>44949</v>
      </c>
    </row>
    <row r="1627" spans="1:12" x14ac:dyDescent="0.35">
      <c r="A1627" t="s">
        <v>450</v>
      </c>
      <c r="B1627" t="s">
        <v>503</v>
      </c>
      <c r="C1627" t="s">
        <v>302</v>
      </c>
      <c r="D1627" t="s">
        <v>155</v>
      </c>
      <c r="E1627">
        <v>4350</v>
      </c>
      <c r="F1627">
        <v>1677.520079334703</v>
      </c>
      <c r="G1627">
        <v>838.76003966735152</v>
      </c>
      <c r="H1627">
        <v>44841</v>
      </c>
      <c r="L1627">
        <v>44887</v>
      </c>
    </row>
    <row r="1628" spans="1:12" x14ac:dyDescent="0.35">
      <c r="A1628" t="s">
        <v>162</v>
      </c>
      <c r="B1628" t="s">
        <v>503</v>
      </c>
      <c r="C1628" t="s">
        <v>302</v>
      </c>
      <c r="D1628" t="s">
        <v>155</v>
      </c>
      <c r="E1628">
        <v>158</v>
      </c>
      <c r="F1628">
        <v>90.291778958166191</v>
      </c>
      <c r="G1628">
        <v>54.175067374899712</v>
      </c>
      <c r="H1628">
        <v>44635</v>
      </c>
      <c r="L1628">
        <v>44736</v>
      </c>
    </row>
    <row r="1629" spans="1:12" x14ac:dyDescent="0.35">
      <c r="A1629" t="s">
        <v>452</v>
      </c>
      <c r="B1629" t="s">
        <v>503</v>
      </c>
      <c r="C1629" t="s">
        <v>302</v>
      </c>
      <c r="D1629" t="s">
        <v>155</v>
      </c>
      <c r="E1629">
        <v>4166</v>
      </c>
      <c r="F1629">
        <v>1927.8670048299023</v>
      </c>
      <c r="G1629">
        <v>963.93350241495114</v>
      </c>
      <c r="H1629">
        <v>44635</v>
      </c>
      <c r="L1629">
        <v>44680</v>
      </c>
    </row>
    <row r="1630" spans="1:12" x14ac:dyDescent="0.35">
      <c r="A1630" t="s">
        <v>422</v>
      </c>
      <c r="B1630" t="s">
        <v>503</v>
      </c>
      <c r="C1630" t="s">
        <v>302</v>
      </c>
      <c r="D1630" t="s">
        <v>155</v>
      </c>
      <c r="E1630">
        <v>263</v>
      </c>
      <c r="F1630">
        <v>69.866402536053485</v>
      </c>
      <c r="G1630">
        <v>41.92</v>
      </c>
      <c r="H1630">
        <v>44635</v>
      </c>
    </row>
    <row r="1631" spans="1:12" x14ac:dyDescent="0.35">
      <c r="A1631" t="s">
        <v>457</v>
      </c>
      <c r="B1631" t="s">
        <v>503</v>
      </c>
      <c r="C1631" t="s">
        <v>302</v>
      </c>
      <c r="D1631" t="s">
        <v>155</v>
      </c>
      <c r="E1631">
        <v>46189</v>
      </c>
      <c r="F1631">
        <v>11859.428078441299</v>
      </c>
      <c r="G1631">
        <v>5929.7140392206493</v>
      </c>
      <c r="H1631">
        <v>44635</v>
      </c>
      <c r="L1631">
        <v>44719</v>
      </c>
    </row>
    <row r="1632" spans="1:12" x14ac:dyDescent="0.35">
      <c r="A1632" t="s">
        <v>481</v>
      </c>
      <c r="B1632" t="s">
        <v>503</v>
      </c>
      <c r="C1632" t="s">
        <v>302</v>
      </c>
      <c r="D1632" t="s">
        <v>155</v>
      </c>
      <c r="E1632">
        <v>45</v>
      </c>
      <c r="F1632">
        <v>36.213189874162602</v>
      </c>
      <c r="G1632">
        <v>18.106594937081301</v>
      </c>
      <c r="H1632">
        <v>44635</v>
      </c>
    </row>
    <row r="1633" spans="1:12" x14ac:dyDescent="0.35">
      <c r="A1633" t="s">
        <v>390</v>
      </c>
      <c r="B1633" t="s">
        <v>503</v>
      </c>
      <c r="C1633" t="s">
        <v>302</v>
      </c>
      <c r="D1633" t="s">
        <v>155</v>
      </c>
      <c r="E1633">
        <v>3705</v>
      </c>
      <c r="F1633">
        <v>1132.1225891910285</v>
      </c>
      <c r="G1633">
        <v>566.06129459551425</v>
      </c>
      <c r="H1633">
        <v>44635</v>
      </c>
      <c r="J1633">
        <v>44694</v>
      </c>
      <c r="K1633" t="s">
        <v>505</v>
      </c>
      <c r="L1633">
        <v>45055</v>
      </c>
    </row>
    <row r="1634" spans="1:12" x14ac:dyDescent="0.35">
      <c r="A1634" t="s">
        <v>482</v>
      </c>
      <c r="B1634" t="s">
        <v>503</v>
      </c>
      <c r="C1634" t="s">
        <v>302</v>
      </c>
      <c r="D1634" t="s">
        <v>155</v>
      </c>
      <c r="E1634">
        <v>48</v>
      </c>
      <c r="F1634">
        <v>19.345746462435351</v>
      </c>
      <c r="G1634">
        <v>9.6728732312176753</v>
      </c>
      <c r="H1634">
        <v>44635</v>
      </c>
    </row>
    <row r="1635" spans="1:12" x14ac:dyDescent="0.35">
      <c r="A1635" t="s">
        <v>283</v>
      </c>
      <c r="B1635" t="s">
        <v>503</v>
      </c>
      <c r="C1635" t="s">
        <v>302</v>
      </c>
      <c r="D1635" t="s">
        <v>155</v>
      </c>
      <c r="E1635">
        <v>5124</v>
      </c>
      <c r="F1635">
        <v>1362.6011025720527</v>
      </c>
      <c r="G1635">
        <v>681.30055128602635</v>
      </c>
      <c r="H1635">
        <v>44635</v>
      </c>
      <c r="L1635">
        <v>44746</v>
      </c>
    </row>
    <row r="1636" spans="1:12" x14ac:dyDescent="0.35">
      <c r="A1636" t="s">
        <v>306</v>
      </c>
      <c r="B1636" t="s">
        <v>503</v>
      </c>
      <c r="C1636" t="s">
        <v>302</v>
      </c>
      <c r="D1636" t="s">
        <v>155</v>
      </c>
      <c r="E1636">
        <v>25804</v>
      </c>
      <c r="F1636">
        <v>6629.0019558142949</v>
      </c>
      <c r="G1636">
        <v>3314.5009779071474</v>
      </c>
      <c r="H1636">
        <v>44635</v>
      </c>
      <c r="L1636">
        <v>44746</v>
      </c>
    </row>
    <row r="1637" spans="1:12" x14ac:dyDescent="0.35">
      <c r="A1637" t="s">
        <v>456</v>
      </c>
      <c r="B1637" t="s">
        <v>503</v>
      </c>
      <c r="C1637" t="s">
        <v>302</v>
      </c>
      <c r="D1637" t="s">
        <v>155</v>
      </c>
      <c r="E1637">
        <v>31</v>
      </c>
      <c r="F1637">
        <v>15.348633798230024</v>
      </c>
      <c r="G1637">
        <v>7.6743168991150119</v>
      </c>
      <c r="H1637">
        <v>44635</v>
      </c>
    </row>
    <row r="1638" spans="1:12" x14ac:dyDescent="0.35">
      <c r="A1638" t="s">
        <v>441</v>
      </c>
      <c r="B1638" t="s">
        <v>503</v>
      </c>
      <c r="C1638" t="s">
        <v>302</v>
      </c>
      <c r="D1638" t="s">
        <v>155</v>
      </c>
      <c r="E1638">
        <v>9</v>
      </c>
      <c r="F1638">
        <v>4.7745216023828654</v>
      </c>
      <c r="G1638">
        <v>2.3872608011914327</v>
      </c>
      <c r="H1638">
        <v>44635</v>
      </c>
    </row>
    <row r="1639" spans="1:12" x14ac:dyDescent="0.35">
      <c r="A1639" t="s">
        <v>193</v>
      </c>
      <c r="B1639" t="s">
        <v>503</v>
      </c>
      <c r="C1639" t="s">
        <v>302</v>
      </c>
      <c r="D1639" t="s">
        <v>155</v>
      </c>
      <c r="E1639">
        <v>1</v>
      </c>
      <c r="F1639">
        <v>0.49982915989148635</v>
      </c>
      <c r="G1639">
        <v>0.24991457994574318</v>
      </c>
      <c r="H1639">
        <v>44635</v>
      </c>
    </row>
    <row r="1640" spans="1:12" x14ac:dyDescent="0.35">
      <c r="A1640" t="s">
        <v>268</v>
      </c>
      <c r="B1640" t="s">
        <v>503</v>
      </c>
      <c r="C1640" t="s">
        <v>302</v>
      </c>
      <c r="D1640" t="s">
        <v>155</v>
      </c>
      <c r="E1640">
        <v>107</v>
      </c>
      <c r="F1640">
        <v>237.45404908176994</v>
      </c>
      <c r="G1640">
        <v>94.981619632707989</v>
      </c>
      <c r="H1640">
        <v>44635</v>
      </c>
    </row>
    <row r="1641" spans="1:12" x14ac:dyDescent="0.35">
      <c r="A1641" t="s">
        <v>507</v>
      </c>
      <c r="B1641" t="s">
        <v>503</v>
      </c>
      <c r="C1641" t="s">
        <v>302</v>
      </c>
      <c r="D1641" t="s">
        <v>155</v>
      </c>
      <c r="E1641">
        <v>463</v>
      </c>
      <c r="F1641">
        <v>153.87632856496629</v>
      </c>
      <c r="G1641">
        <v>92.325797138979794</v>
      </c>
      <c r="H1641">
        <v>44635</v>
      </c>
    </row>
    <row r="1642" spans="1:12" x14ac:dyDescent="0.35">
      <c r="A1642" t="s">
        <v>440</v>
      </c>
      <c r="B1642" t="s">
        <v>503</v>
      </c>
      <c r="C1642" t="s">
        <v>302</v>
      </c>
      <c r="D1642" t="s">
        <v>155</v>
      </c>
      <c r="E1642">
        <v>21</v>
      </c>
      <c r="F1642">
        <v>50.202611376907711</v>
      </c>
      <c r="G1642">
        <v>25.101305688453856</v>
      </c>
      <c r="H1642">
        <v>44635</v>
      </c>
    </row>
    <row r="1643" spans="1:12" x14ac:dyDescent="0.35">
      <c r="A1643" t="s">
        <v>400</v>
      </c>
      <c r="B1643" t="s">
        <v>503</v>
      </c>
      <c r="C1643" t="s">
        <v>302</v>
      </c>
      <c r="D1643" t="s">
        <v>155</v>
      </c>
      <c r="E1643">
        <v>306903</v>
      </c>
      <c r="F1643">
        <v>80206.734118449604</v>
      </c>
      <c r="G1643">
        <v>52134.377176992333</v>
      </c>
      <c r="H1643">
        <v>44635</v>
      </c>
      <c r="L1643">
        <v>44741</v>
      </c>
    </row>
    <row r="1644" spans="1:12" x14ac:dyDescent="0.35">
      <c r="A1644" t="s">
        <v>475</v>
      </c>
      <c r="B1644" t="s">
        <v>508</v>
      </c>
      <c r="C1644" t="s">
        <v>302</v>
      </c>
      <c r="D1644" t="s">
        <v>155</v>
      </c>
      <c r="E1644">
        <v>10</v>
      </c>
      <c r="F1644">
        <v>3.1618319854667751</v>
      </c>
      <c r="G1644">
        <v>1.5809159927333876</v>
      </c>
      <c r="H1644">
        <v>44670</v>
      </c>
    </row>
    <row r="1645" spans="1:12" x14ac:dyDescent="0.35">
      <c r="A1645" t="s">
        <v>435</v>
      </c>
      <c r="B1645" t="s">
        <v>508</v>
      </c>
      <c r="C1645" t="s">
        <v>302</v>
      </c>
      <c r="D1645" t="s">
        <v>155</v>
      </c>
      <c r="E1645">
        <v>4093</v>
      </c>
      <c r="F1645">
        <v>13168.833869226868</v>
      </c>
      <c r="G1645">
        <v>6584.416934613434</v>
      </c>
      <c r="H1645">
        <v>44670</v>
      </c>
    </row>
    <row r="1646" spans="1:12" x14ac:dyDescent="0.35">
      <c r="A1646" t="s">
        <v>381</v>
      </c>
      <c r="B1646" t="s">
        <v>508</v>
      </c>
      <c r="C1646" t="s">
        <v>302</v>
      </c>
      <c r="D1646" t="s">
        <v>155</v>
      </c>
      <c r="E1646">
        <v>1</v>
      </c>
      <c r="F1646">
        <v>0.21997492692094953</v>
      </c>
      <c r="G1646">
        <v>8.7989970768379819E-2</v>
      </c>
      <c r="H1646">
        <v>44670</v>
      </c>
    </row>
    <row r="1647" spans="1:12" x14ac:dyDescent="0.35">
      <c r="A1647" t="s">
        <v>428</v>
      </c>
      <c r="B1647" t="s">
        <v>508</v>
      </c>
      <c r="C1647" t="s">
        <v>302</v>
      </c>
      <c r="D1647" t="s">
        <v>155</v>
      </c>
      <c r="E1647">
        <v>3671</v>
      </c>
      <c r="F1647">
        <v>827.36581322493237</v>
      </c>
      <c r="G1647">
        <v>413.68290661246618</v>
      </c>
      <c r="H1647">
        <v>44670</v>
      </c>
    </row>
    <row r="1648" spans="1:12" x14ac:dyDescent="0.35">
      <c r="A1648" t="s">
        <v>463</v>
      </c>
      <c r="B1648" t="s">
        <v>508</v>
      </c>
      <c r="C1648" t="s">
        <v>302</v>
      </c>
      <c r="D1648" t="s">
        <v>155</v>
      </c>
      <c r="E1648">
        <v>172</v>
      </c>
      <c r="F1648">
        <v>192.87151435391144</v>
      </c>
      <c r="G1648">
        <v>96.435757176955718</v>
      </c>
      <c r="H1648">
        <v>44670</v>
      </c>
      <c r="J1648">
        <v>44694</v>
      </c>
      <c r="K1648" t="s">
        <v>504</v>
      </c>
      <c r="L1648">
        <v>44753</v>
      </c>
    </row>
    <row r="1649" spans="1:12" x14ac:dyDescent="0.35">
      <c r="A1649" t="s">
        <v>383</v>
      </c>
      <c r="B1649" t="s">
        <v>508</v>
      </c>
      <c r="C1649" t="s">
        <v>302</v>
      </c>
      <c r="D1649" t="s">
        <v>155</v>
      </c>
      <c r="E1649">
        <v>179</v>
      </c>
      <c r="F1649">
        <v>662.85197658558195</v>
      </c>
      <c r="G1649">
        <v>265.14079063423333</v>
      </c>
      <c r="H1649">
        <v>44670</v>
      </c>
      <c r="L1649">
        <v>45063</v>
      </c>
    </row>
    <row r="1650" spans="1:12" x14ac:dyDescent="0.35">
      <c r="A1650" t="s">
        <v>357</v>
      </c>
      <c r="B1650" t="s">
        <v>508</v>
      </c>
      <c r="C1650" t="s">
        <v>302</v>
      </c>
      <c r="D1650" t="s">
        <v>155</v>
      </c>
      <c r="E1650">
        <v>13</v>
      </c>
      <c r="F1650">
        <v>44.922953141519663</v>
      </c>
      <c r="G1650">
        <v>22.461476570759832</v>
      </c>
      <c r="H1650">
        <v>44670</v>
      </c>
    </row>
    <row r="1651" spans="1:12" x14ac:dyDescent="0.35">
      <c r="A1651" t="s">
        <v>375</v>
      </c>
      <c r="B1651" t="s">
        <v>508</v>
      </c>
      <c r="C1651" t="s">
        <v>302</v>
      </c>
      <c r="D1651" t="s">
        <v>155</v>
      </c>
      <c r="E1651">
        <v>197</v>
      </c>
      <c r="F1651">
        <v>633.21833199204491</v>
      </c>
      <c r="G1651">
        <v>316.60916599602245</v>
      </c>
      <c r="H1651">
        <v>44670</v>
      </c>
      <c r="L1651">
        <v>45133</v>
      </c>
    </row>
    <row r="1652" spans="1:12" x14ac:dyDescent="0.35">
      <c r="A1652" t="s">
        <v>405</v>
      </c>
      <c r="B1652" t="s">
        <v>508</v>
      </c>
      <c r="C1652" t="s">
        <v>302</v>
      </c>
      <c r="D1652" t="s">
        <v>155</v>
      </c>
      <c r="E1652">
        <v>13000</v>
      </c>
      <c r="F1652">
        <v>2924.3867870362646</v>
      </c>
      <c r="G1652">
        <v>1462.1933935181323</v>
      </c>
      <c r="H1652">
        <v>44670</v>
      </c>
      <c r="L1652">
        <v>45265</v>
      </c>
    </row>
    <row r="1653" spans="1:12" x14ac:dyDescent="0.35">
      <c r="A1653" t="s">
        <v>386</v>
      </c>
      <c r="B1653" t="s">
        <v>508</v>
      </c>
      <c r="C1653" t="s">
        <v>302</v>
      </c>
      <c r="D1653" t="s">
        <v>155</v>
      </c>
      <c r="E1653">
        <v>651</v>
      </c>
      <c r="F1653">
        <v>300.69142925287611</v>
      </c>
      <c r="G1653">
        <v>150.34571462643805</v>
      </c>
      <c r="H1653">
        <v>44670</v>
      </c>
      <c r="L1653">
        <v>45106</v>
      </c>
    </row>
    <row r="1654" spans="1:12" x14ac:dyDescent="0.35">
      <c r="A1654" t="s">
        <v>438</v>
      </c>
      <c r="B1654" t="s">
        <v>508</v>
      </c>
      <c r="C1654" t="s">
        <v>302</v>
      </c>
      <c r="D1654" t="s">
        <v>155</v>
      </c>
      <c r="E1654">
        <v>3</v>
      </c>
      <c r="F1654">
        <v>0.65992478076284855</v>
      </c>
      <c r="G1654">
        <v>0.32996239038142428</v>
      </c>
      <c r="H1654">
        <v>44670</v>
      </c>
    </row>
    <row r="1655" spans="1:12" x14ac:dyDescent="0.35">
      <c r="A1655" t="s">
        <v>445</v>
      </c>
      <c r="B1655" t="s">
        <v>508</v>
      </c>
      <c r="C1655" t="s">
        <v>302</v>
      </c>
      <c r="D1655" t="s">
        <v>155</v>
      </c>
      <c r="E1655">
        <v>39</v>
      </c>
      <c r="F1655">
        <v>168.19723873800083</v>
      </c>
      <c r="G1655">
        <v>84.098619369000417</v>
      </c>
      <c r="H1655">
        <v>44670</v>
      </c>
    </row>
    <row r="1656" spans="1:12" x14ac:dyDescent="0.35">
      <c r="A1656" t="s">
        <v>478</v>
      </c>
      <c r="B1656" t="s">
        <v>508</v>
      </c>
      <c r="C1656" t="s">
        <v>302</v>
      </c>
      <c r="D1656" t="s">
        <v>155</v>
      </c>
      <c r="E1656">
        <v>650</v>
      </c>
      <c r="F1656">
        <v>232.17369170441606</v>
      </c>
      <c r="G1656">
        <v>116.08684585220803</v>
      </c>
      <c r="H1656">
        <v>44670</v>
      </c>
      <c r="J1656">
        <v>44694</v>
      </c>
      <c r="K1656" t="s">
        <v>504</v>
      </c>
      <c r="L1656">
        <v>44748</v>
      </c>
    </row>
    <row r="1657" spans="1:12" x14ac:dyDescent="0.35">
      <c r="A1657" t="s">
        <v>459</v>
      </c>
      <c r="B1657" t="s">
        <v>508</v>
      </c>
      <c r="C1657" t="s">
        <v>302</v>
      </c>
      <c r="D1657" t="s">
        <v>155</v>
      </c>
      <c r="E1657">
        <v>11629</v>
      </c>
      <c r="F1657">
        <v>2614.9044051422129</v>
      </c>
      <c r="G1657">
        <v>1307.4522025711065</v>
      </c>
      <c r="H1657">
        <v>44670</v>
      </c>
    </row>
    <row r="1658" spans="1:12" x14ac:dyDescent="0.35">
      <c r="A1658" t="s">
        <v>362</v>
      </c>
      <c r="B1658" t="s">
        <v>508</v>
      </c>
      <c r="C1658" t="s">
        <v>302</v>
      </c>
      <c r="D1658" t="s">
        <v>155</v>
      </c>
      <c r="E1658">
        <v>84</v>
      </c>
      <c r="F1658">
        <v>25.911250284008936</v>
      </c>
      <c r="G1658">
        <v>10.364500113603574</v>
      </c>
      <c r="H1658">
        <v>44670</v>
      </c>
    </row>
    <row r="1659" spans="1:12" x14ac:dyDescent="0.35">
      <c r="A1659" t="s">
        <v>446</v>
      </c>
      <c r="B1659" t="s">
        <v>508</v>
      </c>
      <c r="C1659" t="s">
        <v>302</v>
      </c>
      <c r="D1659" t="s">
        <v>155</v>
      </c>
      <c r="E1659">
        <v>10</v>
      </c>
      <c r="F1659">
        <v>5.4353861224054425</v>
      </c>
      <c r="G1659">
        <v>2.7176930612027212</v>
      </c>
      <c r="H1659">
        <v>44670</v>
      </c>
    </row>
    <row r="1660" spans="1:12" x14ac:dyDescent="0.35">
      <c r="A1660" t="s">
        <v>416</v>
      </c>
      <c r="B1660" t="s">
        <v>508</v>
      </c>
      <c r="C1660" t="s">
        <v>302</v>
      </c>
      <c r="D1660" t="s">
        <v>155</v>
      </c>
      <c r="E1660">
        <v>158</v>
      </c>
      <c r="F1660">
        <v>100.37385225450855</v>
      </c>
      <c r="G1660">
        <v>50.186926127254274</v>
      </c>
      <c r="H1660">
        <v>44670</v>
      </c>
    </row>
    <row r="1661" spans="1:12" x14ac:dyDescent="0.35">
      <c r="A1661" t="s">
        <v>417</v>
      </c>
      <c r="B1661" t="s">
        <v>508</v>
      </c>
      <c r="C1661" t="s">
        <v>302</v>
      </c>
      <c r="D1661" t="s">
        <v>155</v>
      </c>
      <c r="E1661">
        <v>1493</v>
      </c>
      <c r="F1661">
        <v>764.8271463908286</v>
      </c>
      <c r="G1661">
        <v>382.4135731954143</v>
      </c>
      <c r="H1661">
        <v>44670</v>
      </c>
    </row>
    <row r="1662" spans="1:12" x14ac:dyDescent="0.35">
      <c r="A1662" t="s">
        <v>387</v>
      </c>
      <c r="B1662" t="s">
        <v>508</v>
      </c>
      <c r="C1662" t="s">
        <v>302</v>
      </c>
      <c r="D1662" t="s">
        <v>155</v>
      </c>
      <c r="E1662">
        <v>57</v>
      </c>
      <c r="F1662">
        <v>49.516694314857773</v>
      </c>
      <c r="G1662">
        <v>29.710016588914666</v>
      </c>
      <c r="H1662">
        <v>44670</v>
      </c>
      <c r="L1662">
        <v>44904</v>
      </c>
    </row>
    <row r="1663" spans="1:12" x14ac:dyDescent="0.35">
      <c r="A1663" t="s">
        <v>329</v>
      </c>
      <c r="B1663" t="s">
        <v>508</v>
      </c>
      <c r="C1663" t="s">
        <v>302</v>
      </c>
      <c r="D1663" t="s">
        <v>155</v>
      </c>
      <c r="E1663">
        <v>9</v>
      </c>
      <c r="F1663">
        <v>33.448706832517573</v>
      </c>
      <c r="G1663">
        <v>16.724353416258786</v>
      </c>
      <c r="H1663">
        <v>44670</v>
      </c>
    </row>
    <row r="1664" spans="1:12" x14ac:dyDescent="0.35">
      <c r="A1664" t="s">
        <v>210</v>
      </c>
      <c r="B1664" t="s">
        <v>508</v>
      </c>
      <c r="C1664" t="s">
        <v>302</v>
      </c>
      <c r="D1664" t="s">
        <v>155</v>
      </c>
      <c r="E1664">
        <v>2</v>
      </c>
      <c r="F1664">
        <v>0.92099121197053935</v>
      </c>
      <c r="G1664">
        <v>0.2762973635911618</v>
      </c>
      <c r="H1664">
        <v>44670</v>
      </c>
    </row>
    <row r="1665" spans="1:12" x14ac:dyDescent="0.35">
      <c r="A1665" t="s">
        <v>401</v>
      </c>
      <c r="B1665" t="s">
        <v>508</v>
      </c>
      <c r="C1665" t="s">
        <v>302</v>
      </c>
      <c r="D1665" t="s">
        <v>155</v>
      </c>
      <c r="E1665">
        <v>5274</v>
      </c>
      <c r="F1665">
        <v>1239.3208198067034</v>
      </c>
      <c r="G1665">
        <v>619.66040990335171</v>
      </c>
      <c r="H1665">
        <v>44670</v>
      </c>
    </row>
    <row r="1666" spans="1:12" x14ac:dyDescent="0.35">
      <c r="A1666" t="s">
        <v>458</v>
      </c>
      <c r="B1666" t="s">
        <v>508</v>
      </c>
      <c r="C1666" t="s">
        <v>302</v>
      </c>
      <c r="D1666" t="s">
        <v>155</v>
      </c>
      <c r="E1666">
        <v>10</v>
      </c>
      <c r="F1666">
        <v>2.1997492692094953</v>
      </c>
      <c r="G1666">
        <v>1.0998746346047477</v>
      </c>
      <c r="H1666">
        <v>44670</v>
      </c>
    </row>
    <row r="1667" spans="1:12" x14ac:dyDescent="0.35">
      <c r="A1667" t="s">
        <v>287</v>
      </c>
      <c r="B1667" t="s">
        <v>508</v>
      </c>
      <c r="C1667" t="s">
        <v>302</v>
      </c>
      <c r="D1667" t="s">
        <v>155</v>
      </c>
      <c r="E1667">
        <v>707</v>
      </c>
      <c r="F1667">
        <v>195.19798632936451</v>
      </c>
      <c r="G1667">
        <v>97.598993164682255</v>
      </c>
      <c r="H1667">
        <v>44670</v>
      </c>
    </row>
    <row r="1668" spans="1:12" x14ac:dyDescent="0.35">
      <c r="A1668" t="s">
        <v>230</v>
      </c>
      <c r="B1668" t="s">
        <v>508</v>
      </c>
      <c r="C1668" t="s">
        <v>302</v>
      </c>
      <c r="D1668" t="s">
        <v>155</v>
      </c>
      <c r="E1668">
        <v>15</v>
      </c>
      <c r="F1668">
        <v>40.815794721484224</v>
      </c>
      <c r="G1668">
        <v>20.407897360742112</v>
      </c>
      <c r="H1668">
        <v>44670</v>
      </c>
    </row>
    <row r="1669" spans="1:12" x14ac:dyDescent="0.35">
      <c r="A1669" t="s">
        <v>425</v>
      </c>
      <c r="B1669" t="s">
        <v>508</v>
      </c>
      <c r="C1669" t="s">
        <v>302</v>
      </c>
      <c r="D1669" t="s">
        <v>155</v>
      </c>
      <c r="E1669">
        <v>2</v>
      </c>
      <c r="F1669">
        <v>1.4020325700991796</v>
      </c>
      <c r="G1669">
        <v>0.70101628504958979</v>
      </c>
      <c r="H1669">
        <v>44670</v>
      </c>
    </row>
    <row r="1670" spans="1:12" x14ac:dyDescent="0.35">
      <c r="A1670" t="s">
        <v>366</v>
      </c>
      <c r="B1670" t="s">
        <v>508</v>
      </c>
      <c r="C1670" t="s">
        <v>302</v>
      </c>
      <c r="D1670" t="s">
        <v>155</v>
      </c>
      <c r="E1670">
        <v>2</v>
      </c>
      <c r="F1670">
        <v>0.43994985384189905</v>
      </c>
      <c r="G1670">
        <v>0.21997492692094953</v>
      </c>
      <c r="H1670">
        <v>44670</v>
      </c>
      <c r="L1670">
        <v>45442</v>
      </c>
    </row>
    <row r="1671" spans="1:12" x14ac:dyDescent="0.35">
      <c r="A1671" t="s">
        <v>332</v>
      </c>
      <c r="B1671" t="s">
        <v>508</v>
      </c>
      <c r="C1671" t="s">
        <v>302</v>
      </c>
      <c r="D1671" t="s">
        <v>155</v>
      </c>
      <c r="E1671">
        <v>57</v>
      </c>
      <c r="F1671">
        <v>196.96987146666314</v>
      </c>
      <c r="G1671">
        <v>78.787948586665166</v>
      </c>
      <c r="H1671">
        <v>44670</v>
      </c>
    </row>
    <row r="1672" spans="1:12" x14ac:dyDescent="0.35">
      <c r="A1672" t="s">
        <v>314</v>
      </c>
      <c r="B1672" t="s">
        <v>508</v>
      </c>
      <c r="C1672" t="s">
        <v>302</v>
      </c>
      <c r="D1672" t="s">
        <v>155</v>
      </c>
      <c r="E1672">
        <v>20</v>
      </c>
      <c r="F1672">
        <v>69.112235602337947</v>
      </c>
      <c r="G1672">
        <v>20.73367068070138</v>
      </c>
      <c r="H1672">
        <v>44670</v>
      </c>
      <c r="J1672">
        <v>44694</v>
      </c>
      <c r="K1672" t="s">
        <v>505</v>
      </c>
      <c r="L1672">
        <v>45167</v>
      </c>
    </row>
    <row r="1673" spans="1:12" x14ac:dyDescent="0.35">
      <c r="A1673" t="s">
        <v>30</v>
      </c>
      <c r="B1673" t="s">
        <v>508</v>
      </c>
      <c r="C1673" t="s">
        <v>302</v>
      </c>
      <c r="D1673" t="s">
        <v>155</v>
      </c>
      <c r="E1673">
        <v>1542</v>
      </c>
      <c r="F1673">
        <v>401.12011359712722</v>
      </c>
      <c r="G1673">
        <v>200.56005679856361</v>
      </c>
      <c r="H1673">
        <v>44670</v>
      </c>
    </row>
    <row r="1674" spans="1:12" x14ac:dyDescent="0.35">
      <c r="A1674" t="s">
        <v>347</v>
      </c>
      <c r="B1674" t="s">
        <v>508</v>
      </c>
      <c r="C1674" t="s">
        <v>302</v>
      </c>
      <c r="D1674" t="s">
        <v>155</v>
      </c>
      <c r="E1674">
        <v>1</v>
      </c>
      <c r="F1674">
        <v>0.70101628504958979</v>
      </c>
      <c r="G1674">
        <v>0.21030488551487694</v>
      </c>
      <c r="H1674">
        <v>44670</v>
      </c>
    </row>
    <row r="1675" spans="1:12" x14ac:dyDescent="0.35">
      <c r="A1675" t="s">
        <v>420</v>
      </c>
      <c r="B1675" t="s">
        <v>508</v>
      </c>
      <c r="C1675" t="s">
        <v>302</v>
      </c>
      <c r="D1675" t="s">
        <v>155</v>
      </c>
      <c r="E1675">
        <v>8</v>
      </c>
      <c r="F1675">
        <v>1.759799415367596</v>
      </c>
      <c r="G1675">
        <v>0.87989970768379799</v>
      </c>
      <c r="H1675">
        <v>44670</v>
      </c>
    </row>
    <row r="1676" spans="1:12" x14ac:dyDescent="0.35">
      <c r="A1676" t="s">
        <v>464</v>
      </c>
      <c r="B1676" t="s">
        <v>508</v>
      </c>
      <c r="C1676" t="s">
        <v>302</v>
      </c>
      <c r="D1676" t="s">
        <v>155</v>
      </c>
      <c r="E1676">
        <v>3</v>
      </c>
      <c r="F1676">
        <v>0.65992478076284855</v>
      </c>
      <c r="G1676">
        <v>0.32996239038142428</v>
      </c>
      <c r="H1676">
        <v>44670</v>
      </c>
    </row>
    <row r="1677" spans="1:12" x14ac:dyDescent="0.35">
      <c r="A1677" t="s">
        <v>388</v>
      </c>
      <c r="B1677" t="s">
        <v>508</v>
      </c>
      <c r="C1677" t="s">
        <v>302</v>
      </c>
      <c r="D1677" t="s">
        <v>155</v>
      </c>
      <c r="E1677">
        <v>787</v>
      </c>
      <c r="F1677">
        <v>2761.3332834251996</v>
      </c>
      <c r="G1677">
        <v>1380.6666417125998</v>
      </c>
      <c r="H1677">
        <v>44670</v>
      </c>
      <c r="J1677">
        <v>44694</v>
      </c>
      <c r="K1677" t="s">
        <v>504</v>
      </c>
      <c r="L1677">
        <v>44727</v>
      </c>
    </row>
    <row r="1678" spans="1:12" x14ac:dyDescent="0.35">
      <c r="A1678" t="s">
        <v>436</v>
      </c>
      <c r="B1678" t="s">
        <v>508</v>
      </c>
      <c r="C1678" t="s">
        <v>302</v>
      </c>
      <c r="D1678" t="s">
        <v>155</v>
      </c>
      <c r="E1678">
        <v>523</v>
      </c>
      <c r="F1678">
        <v>257.41490832027819</v>
      </c>
      <c r="G1678">
        <v>128.70745416013909</v>
      </c>
      <c r="H1678">
        <v>44670</v>
      </c>
      <c r="L1678">
        <v>45261</v>
      </c>
    </row>
    <row r="1679" spans="1:12" x14ac:dyDescent="0.35">
      <c r="A1679" t="s">
        <v>359</v>
      </c>
      <c r="B1679" t="s">
        <v>508</v>
      </c>
      <c r="C1679" t="s">
        <v>302</v>
      </c>
      <c r="D1679" t="s">
        <v>155</v>
      </c>
      <c r="E1679">
        <v>6</v>
      </c>
      <c r="F1679">
        <v>7.7911232679175919</v>
      </c>
      <c r="G1679">
        <v>3.895561633958796</v>
      </c>
      <c r="H1679">
        <v>44670</v>
      </c>
    </row>
    <row r="1680" spans="1:12" x14ac:dyDescent="0.35">
      <c r="A1680" t="s">
        <v>190</v>
      </c>
      <c r="B1680" t="s">
        <v>509</v>
      </c>
      <c r="C1680" t="s">
        <v>302</v>
      </c>
      <c r="D1680" t="s">
        <v>155</v>
      </c>
      <c r="E1680">
        <v>65292</v>
      </c>
      <c r="F1680">
        <v>14649.390705796955</v>
      </c>
      <c r="G1680">
        <v>7324.6953528984777</v>
      </c>
      <c r="H1680">
        <v>44670</v>
      </c>
      <c r="L1680">
        <v>44949</v>
      </c>
    </row>
    <row r="1681" spans="1:12" x14ac:dyDescent="0.35">
      <c r="A1681" t="s">
        <v>450</v>
      </c>
      <c r="B1681" t="s">
        <v>508</v>
      </c>
      <c r="C1681" t="s">
        <v>302</v>
      </c>
      <c r="D1681" t="s">
        <v>155</v>
      </c>
      <c r="E1681">
        <v>17310</v>
      </c>
      <c r="F1681">
        <v>4223.9513078424679</v>
      </c>
      <c r="G1681">
        <v>2111.975653921234</v>
      </c>
      <c r="H1681">
        <v>44841</v>
      </c>
      <c r="L1681">
        <v>44887</v>
      </c>
    </row>
    <row r="1682" spans="1:12" x14ac:dyDescent="0.35">
      <c r="A1682" t="s">
        <v>162</v>
      </c>
      <c r="B1682" t="s">
        <v>508</v>
      </c>
      <c r="C1682" t="s">
        <v>302</v>
      </c>
      <c r="D1682" t="s">
        <v>155</v>
      </c>
      <c r="E1682">
        <v>128</v>
      </c>
      <c r="F1682">
        <v>91.037649647161899</v>
      </c>
      <c r="G1682">
        <v>54.622589788297198</v>
      </c>
      <c r="H1682">
        <v>44670</v>
      </c>
      <c r="L1682">
        <v>44736</v>
      </c>
    </row>
    <row r="1683" spans="1:12" x14ac:dyDescent="0.35">
      <c r="A1683" t="s">
        <v>452</v>
      </c>
      <c r="B1683" t="s">
        <v>508</v>
      </c>
      <c r="C1683" t="s">
        <v>302</v>
      </c>
      <c r="D1683" t="s">
        <v>155</v>
      </c>
      <c r="E1683">
        <v>3640</v>
      </c>
      <c r="F1683">
        <v>1552.2631050185441</v>
      </c>
      <c r="G1683">
        <v>776.13155250927207</v>
      </c>
      <c r="H1683">
        <v>44670</v>
      </c>
      <c r="L1683">
        <v>44680</v>
      </c>
    </row>
    <row r="1684" spans="1:12" x14ac:dyDescent="0.35">
      <c r="A1684" t="s">
        <v>422</v>
      </c>
      <c r="B1684" t="s">
        <v>508</v>
      </c>
      <c r="C1684" t="s">
        <v>302</v>
      </c>
      <c r="D1684" t="s">
        <v>155</v>
      </c>
      <c r="E1684">
        <v>209</v>
      </c>
      <c r="F1684">
        <v>45.974759726478446</v>
      </c>
      <c r="G1684">
        <v>28</v>
      </c>
      <c r="H1684">
        <v>44670</v>
      </c>
    </row>
    <row r="1685" spans="1:12" x14ac:dyDescent="0.35">
      <c r="A1685" t="s">
        <v>457</v>
      </c>
      <c r="B1685" t="s">
        <v>508</v>
      </c>
      <c r="C1685" t="s">
        <v>302</v>
      </c>
      <c r="D1685" t="s">
        <v>155</v>
      </c>
      <c r="E1685">
        <v>18118</v>
      </c>
      <c r="F1685">
        <v>4041.4736351743536</v>
      </c>
      <c r="G1685">
        <v>2020.7368175871768</v>
      </c>
      <c r="H1685">
        <v>44670</v>
      </c>
      <c r="L1685">
        <v>44719</v>
      </c>
    </row>
    <row r="1686" spans="1:12" x14ac:dyDescent="0.35">
      <c r="A1686" t="s">
        <v>481</v>
      </c>
      <c r="B1686" t="s">
        <v>508</v>
      </c>
      <c r="C1686" t="s">
        <v>302</v>
      </c>
      <c r="D1686" t="s">
        <v>155</v>
      </c>
      <c r="E1686">
        <v>20</v>
      </c>
      <c r="F1686">
        <v>7.6351353916149378</v>
      </c>
      <c r="G1686">
        <v>3.8175676958074689</v>
      </c>
      <c r="H1686">
        <v>44670</v>
      </c>
    </row>
    <row r="1687" spans="1:12" x14ac:dyDescent="0.35">
      <c r="A1687" t="s">
        <v>390</v>
      </c>
      <c r="B1687" t="s">
        <v>508</v>
      </c>
      <c r="C1687" t="s">
        <v>302</v>
      </c>
      <c r="D1687" t="s">
        <v>155</v>
      </c>
      <c r="E1687">
        <v>3643</v>
      </c>
      <c r="F1687">
        <v>958.60339315893918</v>
      </c>
      <c r="G1687">
        <v>479.30169657946959</v>
      </c>
      <c r="H1687">
        <v>44670</v>
      </c>
      <c r="J1687">
        <v>44694</v>
      </c>
      <c r="K1687" t="s">
        <v>505</v>
      </c>
      <c r="L1687">
        <v>45055</v>
      </c>
    </row>
    <row r="1688" spans="1:12" x14ac:dyDescent="0.35">
      <c r="A1688" t="s">
        <v>482</v>
      </c>
      <c r="B1688" t="s">
        <v>508</v>
      </c>
      <c r="C1688" t="s">
        <v>302</v>
      </c>
      <c r="D1688" t="s">
        <v>155</v>
      </c>
      <c r="E1688">
        <v>50</v>
      </c>
      <c r="F1688">
        <v>10.998746346047476</v>
      </c>
      <c r="G1688">
        <v>5.4993731730237378</v>
      </c>
      <c r="H1688">
        <v>44670</v>
      </c>
    </row>
    <row r="1689" spans="1:12" x14ac:dyDescent="0.35">
      <c r="A1689" t="s">
        <v>283</v>
      </c>
      <c r="B1689" t="s">
        <v>508</v>
      </c>
      <c r="C1689" t="s">
        <v>302</v>
      </c>
      <c r="D1689" t="s">
        <v>155</v>
      </c>
      <c r="E1689">
        <v>4929</v>
      </c>
      <c r="F1689">
        <v>1136.7304369697069</v>
      </c>
      <c r="G1689">
        <v>568.36521848485347</v>
      </c>
      <c r="H1689">
        <v>44670</v>
      </c>
      <c r="L1689">
        <v>44746</v>
      </c>
    </row>
    <row r="1690" spans="1:12" x14ac:dyDescent="0.35">
      <c r="A1690" t="s">
        <v>306</v>
      </c>
      <c r="B1690" t="s">
        <v>508</v>
      </c>
      <c r="C1690" t="s">
        <v>302</v>
      </c>
      <c r="D1690" t="s">
        <v>155</v>
      </c>
      <c r="E1690">
        <v>22310</v>
      </c>
      <c r="F1690">
        <v>4933.2509724020583</v>
      </c>
      <c r="G1690">
        <v>2466.6254862010292</v>
      </c>
      <c r="H1690">
        <v>44670</v>
      </c>
      <c r="L1690">
        <v>44746</v>
      </c>
    </row>
    <row r="1691" spans="1:12" x14ac:dyDescent="0.35">
      <c r="A1691" t="s">
        <v>456</v>
      </c>
      <c r="B1691" t="s">
        <v>508</v>
      </c>
      <c r="C1691" t="s">
        <v>302</v>
      </c>
      <c r="D1691" t="s">
        <v>155</v>
      </c>
      <c r="E1691">
        <v>28</v>
      </c>
      <c r="F1691">
        <v>35.704065011501051</v>
      </c>
      <c r="G1691">
        <v>17.852032505750525</v>
      </c>
      <c r="H1691">
        <v>44670</v>
      </c>
    </row>
    <row r="1692" spans="1:12" x14ac:dyDescent="0.35">
      <c r="A1692" t="s">
        <v>441</v>
      </c>
      <c r="B1692" t="s">
        <v>508</v>
      </c>
      <c r="C1692" t="s">
        <v>302</v>
      </c>
      <c r="D1692" t="s">
        <v>155</v>
      </c>
      <c r="E1692">
        <v>3</v>
      </c>
      <c r="F1692">
        <v>0.65992478076284855</v>
      </c>
      <c r="G1692">
        <v>0.32996239038142428</v>
      </c>
      <c r="H1692">
        <v>44670</v>
      </c>
    </row>
    <row r="1693" spans="1:12" x14ac:dyDescent="0.35">
      <c r="A1693" t="s">
        <v>193</v>
      </c>
      <c r="B1693" t="s">
        <v>508</v>
      </c>
      <c r="C1693" t="s">
        <v>302</v>
      </c>
      <c r="D1693" t="s">
        <v>155</v>
      </c>
      <c r="E1693">
        <v>1</v>
      </c>
      <c r="F1693">
        <v>20.057831425047571</v>
      </c>
      <c r="G1693">
        <v>10.028915712523785</v>
      </c>
      <c r="H1693">
        <v>44670</v>
      </c>
    </row>
    <row r="1694" spans="1:12" x14ac:dyDescent="0.35">
      <c r="A1694" t="s">
        <v>186</v>
      </c>
      <c r="B1694" t="s">
        <v>508</v>
      </c>
      <c r="C1694" t="s">
        <v>302</v>
      </c>
      <c r="D1694" t="s">
        <v>155</v>
      </c>
      <c r="E1694">
        <v>1</v>
      </c>
      <c r="F1694">
        <v>0.21997492692094953</v>
      </c>
      <c r="G1694">
        <v>0.10998746346047476</v>
      </c>
      <c r="H1694">
        <v>44670</v>
      </c>
    </row>
    <row r="1695" spans="1:12" x14ac:dyDescent="0.35">
      <c r="A1695" t="s">
        <v>268</v>
      </c>
      <c r="B1695" t="s">
        <v>508</v>
      </c>
      <c r="C1695" t="s">
        <v>302</v>
      </c>
      <c r="D1695" t="s">
        <v>155</v>
      </c>
      <c r="E1695">
        <v>26</v>
      </c>
      <c r="F1695">
        <v>56.064054372043046</v>
      </c>
      <c r="G1695">
        <v>22.425621748817221</v>
      </c>
      <c r="H1695">
        <v>44670</v>
      </c>
    </row>
    <row r="1696" spans="1:12" x14ac:dyDescent="0.35">
      <c r="A1696" t="s">
        <v>507</v>
      </c>
      <c r="B1696" t="s">
        <v>508</v>
      </c>
      <c r="C1696" t="s">
        <v>302</v>
      </c>
      <c r="D1696" t="s">
        <v>155</v>
      </c>
      <c r="E1696">
        <v>186</v>
      </c>
      <c r="F1696">
        <v>40.915336407296621</v>
      </c>
      <c r="G1696">
        <v>24.549201844377961</v>
      </c>
      <c r="H1696">
        <v>44670</v>
      </c>
    </row>
    <row r="1697" spans="1:12" x14ac:dyDescent="0.35">
      <c r="A1697" t="s">
        <v>440</v>
      </c>
      <c r="B1697" t="s">
        <v>508</v>
      </c>
      <c r="C1697" t="s">
        <v>302</v>
      </c>
      <c r="D1697" t="s">
        <v>155</v>
      </c>
      <c r="E1697">
        <v>10</v>
      </c>
      <c r="F1697">
        <v>125.42460782742245</v>
      </c>
      <c r="G1697">
        <v>62.712303913711224</v>
      </c>
      <c r="H1697">
        <v>44670</v>
      </c>
    </row>
    <row r="1698" spans="1:12" x14ac:dyDescent="0.35">
      <c r="A1698" t="s">
        <v>400</v>
      </c>
      <c r="B1698" t="s">
        <v>508</v>
      </c>
      <c r="C1698" t="s">
        <v>302</v>
      </c>
      <c r="D1698" t="s">
        <v>155</v>
      </c>
      <c r="E1698">
        <v>187566</v>
      </c>
      <c r="F1698">
        <v>44376.084006230507</v>
      </c>
      <c r="G1698">
        <v>28844.454604049264</v>
      </c>
      <c r="H1698">
        <v>44670</v>
      </c>
      <c r="L1698">
        <v>44741</v>
      </c>
    </row>
    <row r="1699" spans="1:12" x14ac:dyDescent="0.35">
      <c r="A1699" t="s">
        <v>430</v>
      </c>
      <c r="B1699" t="s">
        <v>510</v>
      </c>
      <c r="C1699" t="s">
        <v>302</v>
      </c>
      <c r="D1699" t="s">
        <v>155</v>
      </c>
      <c r="E1699">
        <v>220</v>
      </c>
      <c r="F1699">
        <v>159.17381840768095</v>
      </c>
      <c r="G1699">
        <v>63.669527363072419</v>
      </c>
      <c r="H1699">
        <v>44691</v>
      </c>
      <c r="L1699">
        <v>45159</v>
      </c>
    </row>
    <row r="1700" spans="1:12" x14ac:dyDescent="0.35">
      <c r="A1700" t="s">
        <v>511</v>
      </c>
      <c r="B1700" t="s">
        <v>512</v>
      </c>
      <c r="C1700" t="s">
        <v>302</v>
      </c>
      <c r="D1700" t="s">
        <v>155</v>
      </c>
      <c r="E1700">
        <v>20100</v>
      </c>
      <c r="F1700">
        <v>4392.7259074922467</v>
      </c>
      <c r="G1700">
        <v>2196.3629537461234</v>
      </c>
      <c r="H1700">
        <v>44691</v>
      </c>
    </row>
    <row r="1701" spans="1:12" x14ac:dyDescent="0.35">
      <c r="A1701" t="s">
        <v>513</v>
      </c>
      <c r="B1701" t="s">
        <v>514</v>
      </c>
      <c r="C1701" t="s">
        <v>302</v>
      </c>
      <c r="D1701" t="s">
        <v>155</v>
      </c>
      <c r="E1701">
        <v>235</v>
      </c>
      <c r="F1701">
        <v>12414.406779660965</v>
      </c>
      <c r="G1701">
        <v>7448.6440677966366</v>
      </c>
      <c r="H1701">
        <v>44641</v>
      </c>
    </row>
    <row r="1702" spans="1:12" x14ac:dyDescent="0.35">
      <c r="A1702" t="s">
        <v>513</v>
      </c>
      <c r="B1702" t="s">
        <v>515</v>
      </c>
      <c r="C1702" t="s">
        <v>302</v>
      </c>
      <c r="D1702" t="s">
        <v>155</v>
      </c>
      <c r="E1702">
        <v>5</v>
      </c>
      <c r="F1702">
        <v>278.81355932203388</v>
      </c>
      <c r="G1702">
        <v>167.28813559322032</v>
      </c>
      <c r="H1702">
        <v>44699</v>
      </c>
    </row>
    <row r="1703" spans="1:12" x14ac:dyDescent="0.35">
      <c r="A1703" t="s">
        <v>516</v>
      </c>
      <c r="B1703" t="s">
        <v>517</v>
      </c>
      <c r="C1703" t="s">
        <v>246</v>
      </c>
      <c r="D1703" t="s">
        <v>155</v>
      </c>
      <c r="E1703">
        <v>5891</v>
      </c>
      <c r="F1703" t="s">
        <v>153</v>
      </c>
      <c r="G1703">
        <v>293.70804000000015</v>
      </c>
      <c r="H1703">
        <v>44701</v>
      </c>
      <c r="I1703">
        <v>44701</v>
      </c>
      <c r="L1703">
        <v>44764</v>
      </c>
    </row>
    <row r="1704" spans="1:12" x14ac:dyDescent="0.35">
      <c r="A1704" t="s">
        <v>516</v>
      </c>
      <c r="B1704" t="s">
        <v>517</v>
      </c>
      <c r="C1704" t="s">
        <v>302</v>
      </c>
      <c r="D1704" t="s">
        <v>155</v>
      </c>
      <c r="E1704">
        <v>1368</v>
      </c>
      <c r="F1704">
        <v>457.87760727135424</v>
      </c>
      <c r="G1704">
        <v>228.93880363567712</v>
      </c>
      <c r="H1704">
        <v>44701</v>
      </c>
      <c r="I1704">
        <v>44701</v>
      </c>
      <c r="L1704">
        <v>44764</v>
      </c>
    </row>
    <row r="1705" spans="1:12" x14ac:dyDescent="0.35">
      <c r="A1705" t="s">
        <v>475</v>
      </c>
      <c r="B1705" t="s">
        <v>518</v>
      </c>
      <c r="C1705" t="s">
        <v>302</v>
      </c>
      <c r="D1705" t="s">
        <v>155</v>
      </c>
      <c r="E1705">
        <v>5</v>
      </c>
      <c r="F1705">
        <v>15.049249427944929</v>
      </c>
      <c r="G1705">
        <v>7.5246247139724645</v>
      </c>
      <c r="H1705">
        <v>44770</v>
      </c>
    </row>
    <row r="1706" spans="1:12" x14ac:dyDescent="0.35">
      <c r="A1706" t="s">
        <v>379</v>
      </c>
      <c r="B1706" t="s">
        <v>518</v>
      </c>
      <c r="C1706" t="s">
        <v>302</v>
      </c>
      <c r="D1706" t="s">
        <v>155</v>
      </c>
      <c r="E1706">
        <v>2</v>
      </c>
      <c r="F1706">
        <v>1.5249991219572763</v>
      </c>
      <c r="G1706">
        <v>0.76249956097863814</v>
      </c>
      <c r="H1706">
        <v>44770</v>
      </c>
    </row>
    <row r="1707" spans="1:12" x14ac:dyDescent="0.35">
      <c r="A1707" t="s">
        <v>435</v>
      </c>
      <c r="B1707" t="s">
        <v>518</v>
      </c>
      <c r="C1707" t="s">
        <v>302</v>
      </c>
      <c r="D1707" t="s">
        <v>155</v>
      </c>
      <c r="E1707">
        <v>10944</v>
      </c>
      <c r="F1707">
        <v>35287.674140796851</v>
      </c>
      <c r="G1707">
        <v>17643.837070398426</v>
      </c>
      <c r="H1707">
        <v>44770</v>
      </c>
    </row>
    <row r="1708" spans="1:12" x14ac:dyDescent="0.35">
      <c r="A1708" t="s">
        <v>381</v>
      </c>
      <c r="B1708" t="s">
        <v>518</v>
      </c>
      <c r="C1708" t="s">
        <v>302</v>
      </c>
      <c r="D1708" t="s">
        <v>155</v>
      </c>
      <c r="E1708">
        <v>1</v>
      </c>
      <c r="F1708">
        <v>4.0679032834835551</v>
      </c>
      <c r="G1708">
        <v>1.6271613133934222</v>
      </c>
      <c r="H1708">
        <v>44770</v>
      </c>
    </row>
    <row r="1709" spans="1:12" x14ac:dyDescent="0.35">
      <c r="A1709" t="s">
        <v>428</v>
      </c>
      <c r="B1709" t="s">
        <v>496</v>
      </c>
      <c r="C1709" t="s">
        <v>246</v>
      </c>
      <c r="D1709" t="s">
        <v>155</v>
      </c>
      <c r="E1709">
        <v>17</v>
      </c>
      <c r="F1709">
        <v>0</v>
      </c>
      <c r="G1709">
        <v>1.1792499999999999</v>
      </c>
      <c r="H1709">
        <v>44580</v>
      </c>
    </row>
    <row r="1710" spans="1:12" x14ac:dyDescent="0.35">
      <c r="A1710" t="s">
        <v>463</v>
      </c>
      <c r="B1710" t="s">
        <v>518</v>
      </c>
      <c r="C1710" t="s">
        <v>302</v>
      </c>
      <c r="D1710" t="s">
        <v>155</v>
      </c>
      <c r="E1710">
        <v>197</v>
      </c>
      <c r="F1710">
        <v>737.27942747501152</v>
      </c>
      <c r="G1710">
        <v>368.63971373750576</v>
      </c>
      <c r="H1710">
        <v>44770</v>
      </c>
    </row>
    <row r="1711" spans="1:12" x14ac:dyDescent="0.35">
      <c r="A1711" t="s">
        <v>383</v>
      </c>
      <c r="B1711" t="s">
        <v>518</v>
      </c>
      <c r="C1711" t="s">
        <v>302</v>
      </c>
      <c r="D1711" t="s">
        <v>155</v>
      </c>
      <c r="E1711">
        <v>1095</v>
      </c>
      <c r="F1711">
        <v>3774.6833616483495</v>
      </c>
      <c r="G1711">
        <v>1510</v>
      </c>
      <c r="H1711">
        <v>44770</v>
      </c>
      <c r="L1711">
        <v>45063</v>
      </c>
    </row>
    <row r="1712" spans="1:12" x14ac:dyDescent="0.35">
      <c r="A1712" t="s">
        <v>357</v>
      </c>
      <c r="B1712" t="s">
        <v>518</v>
      </c>
      <c r="C1712" t="s">
        <v>302</v>
      </c>
      <c r="D1712" t="s">
        <v>155</v>
      </c>
      <c r="E1712">
        <v>61</v>
      </c>
      <c r="F1712">
        <v>174.01235168921357</v>
      </c>
      <c r="G1712">
        <v>87.006175844606787</v>
      </c>
      <c r="H1712">
        <v>44770</v>
      </c>
    </row>
    <row r="1713" spans="1:12" x14ac:dyDescent="0.35">
      <c r="A1713" t="s">
        <v>375</v>
      </c>
      <c r="B1713" t="s">
        <v>518</v>
      </c>
      <c r="C1713" t="s">
        <v>302</v>
      </c>
      <c r="D1713" t="s">
        <v>155</v>
      </c>
      <c r="E1713">
        <v>550</v>
      </c>
      <c r="F1713">
        <v>1855.6899937587871</v>
      </c>
      <c r="G1713">
        <v>927.84499687939353</v>
      </c>
      <c r="H1713">
        <v>44770</v>
      </c>
      <c r="L1713">
        <v>45133</v>
      </c>
    </row>
    <row r="1714" spans="1:12" x14ac:dyDescent="0.35">
      <c r="A1714" t="s">
        <v>405</v>
      </c>
      <c r="B1714" t="s">
        <v>519</v>
      </c>
      <c r="C1714" t="s">
        <v>302</v>
      </c>
      <c r="D1714" t="s">
        <v>155</v>
      </c>
      <c r="E1714">
        <v>67</v>
      </c>
      <c r="F1714">
        <v>257.0529115898413</v>
      </c>
      <c r="G1714">
        <v>128.52645579092061</v>
      </c>
      <c r="H1714">
        <v>45265</v>
      </c>
      <c r="L1714">
        <v>45265</v>
      </c>
    </row>
    <row r="1715" spans="1:12" x14ac:dyDescent="0.35">
      <c r="A1715" t="s">
        <v>386</v>
      </c>
      <c r="B1715" t="s">
        <v>518</v>
      </c>
      <c r="C1715" t="s">
        <v>302</v>
      </c>
      <c r="D1715" t="s">
        <v>155</v>
      </c>
      <c r="E1715">
        <v>137</v>
      </c>
      <c r="F1715">
        <v>432.86210876882484</v>
      </c>
      <c r="G1715">
        <v>216.43105438441242</v>
      </c>
      <c r="H1715">
        <v>44770</v>
      </c>
      <c r="L1715">
        <v>45106</v>
      </c>
    </row>
    <row r="1716" spans="1:12" x14ac:dyDescent="0.35">
      <c r="A1716" t="s">
        <v>265</v>
      </c>
      <c r="B1716" t="s">
        <v>518</v>
      </c>
      <c r="C1716" t="s">
        <v>302</v>
      </c>
      <c r="D1716" t="s">
        <v>155</v>
      </c>
      <c r="E1716">
        <v>1</v>
      </c>
      <c r="F1716">
        <v>18.665291862137565</v>
      </c>
      <c r="G1716">
        <v>9.3326459310687824</v>
      </c>
      <c r="H1716">
        <v>44770</v>
      </c>
    </row>
    <row r="1717" spans="1:12" x14ac:dyDescent="0.35">
      <c r="A1717" t="s">
        <v>520</v>
      </c>
      <c r="B1717" t="s">
        <v>518</v>
      </c>
      <c r="C1717" t="s">
        <v>302</v>
      </c>
      <c r="D1717" t="s">
        <v>155</v>
      </c>
      <c r="E1717">
        <v>262</v>
      </c>
      <c r="F1717">
        <v>1985.5332535606576</v>
      </c>
      <c r="G1717">
        <v>992.76662678032881</v>
      </c>
      <c r="H1717">
        <v>44770</v>
      </c>
    </row>
    <row r="1718" spans="1:12" x14ac:dyDescent="0.35">
      <c r="A1718" t="s">
        <v>477</v>
      </c>
      <c r="B1718" t="s">
        <v>518</v>
      </c>
      <c r="C1718" t="s">
        <v>302</v>
      </c>
      <c r="D1718" t="s">
        <v>155</v>
      </c>
      <c r="E1718">
        <v>3</v>
      </c>
      <c r="F1718">
        <v>8.2504329878332339</v>
      </c>
      <c r="G1718">
        <v>4.1252164939166169</v>
      </c>
      <c r="H1718">
        <v>44770</v>
      </c>
    </row>
    <row r="1719" spans="1:12" x14ac:dyDescent="0.35">
      <c r="A1719" t="s">
        <v>438</v>
      </c>
      <c r="B1719" t="s">
        <v>518</v>
      </c>
      <c r="C1719" t="s">
        <v>302</v>
      </c>
      <c r="D1719" t="s">
        <v>155</v>
      </c>
      <c r="E1719">
        <v>1</v>
      </c>
      <c r="F1719">
        <v>0.76054972190036074</v>
      </c>
      <c r="G1719">
        <v>0.38027486095018037</v>
      </c>
      <c r="H1719">
        <v>44770</v>
      </c>
    </row>
    <row r="1720" spans="1:12" x14ac:dyDescent="0.35">
      <c r="A1720" t="s">
        <v>445</v>
      </c>
      <c r="B1720" t="s">
        <v>518</v>
      </c>
      <c r="C1720" t="s">
        <v>302</v>
      </c>
      <c r="D1720" t="s">
        <v>155</v>
      </c>
      <c r="E1720">
        <v>44</v>
      </c>
      <c r="F1720">
        <v>258.70226320151585</v>
      </c>
      <c r="G1720">
        <v>129.35113160075792</v>
      </c>
      <c r="H1720">
        <v>44770</v>
      </c>
    </row>
    <row r="1721" spans="1:12" x14ac:dyDescent="0.35">
      <c r="A1721" t="s">
        <v>478</v>
      </c>
      <c r="B1721" t="s">
        <v>518</v>
      </c>
      <c r="C1721" t="s">
        <v>302</v>
      </c>
      <c r="D1721" t="s">
        <v>155</v>
      </c>
      <c r="E1721">
        <v>71</v>
      </c>
      <c r="F1721">
        <v>471.58844373411358</v>
      </c>
      <c r="G1721">
        <v>235.79422186705679</v>
      </c>
      <c r="H1721">
        <v>44770</v>
      </c>
      <c r="J1721">
        <v>44770</v>
      </c>
      <c r="K1721" t="s">
        <v>521</v>
      </c>
      <c r="L1721">
        <v>44986</v>
      </c>
    </row>
    <row r="1722" spans="1:12" x14ac:dyDescent="0.35">
      <c r="A1722" t="s">
        <v>459</v>
      </c>
      <c r="B1722" t="s">
        <v>518</v>
      </c>
      <c r="C1722" t="s">
        <v>302</v>
      </c>
      <c r="D1722" t="s">
        <v>155</v>
      </c>
      <c r="E1722">
        <v>51</v>
      </c>
      <c r="F1722">
        <v>235.52758788035447</v>
      </c>
      <c r="G1722">
        <v>117.76379394017724</v>
      </c>
      <c r="H1722">
        <v>44770</v>
      </c>
    </row>
    <row r="1723" spans="1:12" x14ac:dyDescent="0.35">
      <c r="A1723" t="s">
        <v>362</v>
      </c>
      <c r="B1723" t="s">
        <v>518</v>
      </c>
      <c r="C1723" t="s">
        <v>302</v>
      </c>
      <c r="D1723" t="s">
        <v>155</v>
      </c>
      <c r="E1723">
        <v>11</v>
      </c>
      <c r="F1723">
        <v>31.465791685712208</v>
      </c>
      <c r="G1723">
        <v>12.586316674284884</v>
      </c>
      <c r="H1723">
        <v>44770</v>
      </c>
    </row>
    <row r="1724" spans="1:12" x14ac:dyDescent="0.35">
      <c r="A1724" t="s">
        <v>446</v>
      </c>
      <c r="B1724" t="s">
        <v>518</v>
      </c>
      <c r="C1724" t="s">
        <v>302</v>
      </c>
      <c r="D1724" t="s">
        <v>155</v>
      </c>
      <c r="E1724">
        <v>9</v>
      </c>
      <c r="F1724">
        <v>31.320862561879153</v>
      </c>
      <c r="G1724">
        <v>15.660431280939576</v>
      </c>
      <c r="H1724">
        <v>44770</v>
      </c>
    </row>
    <row r="1725" spans="1:12" x14ac:dyDescent="0.35">
      <c r="A1725" t="s">
        <v>416</v>
      </c>
      <c r="B1725" t="s">
        <v>518</v>
      </c>
      <c r="C1725" t="s">
        <v>302</v>
      </c>
      <c r="D1725" t="s">
        <v>155</v>
      </c>
      <c r="E1725">
        <v>40</v>
      </c>
      <c r="F1725">
        <v>125.45830199367062</v>
      </c>
      <c r="G1725">
        <v>62.729150996835308</v>
      </c>
      <c r="H1725">
        <v>44770</v>
      </c>
    </row>
    <row r="1726" spans="1:12" x14ac:dyDescent="0.35">
      <c r="A1726" t="s">
        <v>417</v>
      </c>
      <c r="B1726" t="s">
        <v>518</v>
      </c>
      <c r="C1726" t="s">
        <v>302</v>
      </c>
      <c r="D1726" t="s">
        <v>155</v>
      </c>
      <c r="E1726">
        <v>407</v>
      </c>
      <c r="F1726">
        <v>1411.7477492669227</v>
      </c>
      <c r="G1726">
        <v>705.87387463346136</v>
      </c>
      <c r="H1726">
        <v>44770</v>
      </c>
    </row>
    <row r="1727" spans="1:12" x14ac:dyDescent="0.35">
      <c r="A1727" t="s">
        <v>387</v>
      </c>
      <c r="B1727" t="s">
        <v>518</v>
      </c>
      <c r="C1727" t="s">
        <v>302</v>
      </c>
      <c r="D1727" t="s">
        <v>155</v>
      </c>
      <c r="E1727">
        <v>67</v>
      </c>
      <c r="F1727">
        <v>260.93711444779791</v>
      </c>
      <c r="G1727">
        <v>156.56226866867885</v>
      </c>
      <c r="H1727">
        <v>44770</v>
      </c>
      <c r="L1727">
        <v>44904</v>
      </c>
    </row>
    <row r="1728" spans="1:12" x14ac:dyDescent="0.35">
      <c r="A1728" t="s">
        <v>329</v>
      </c>
      <c r="B1728" t="s">
        <v>518</v>
      </c>
      <c r="C1728" t="s">
        <v>302</v>
      </c>
      <c r="D1728" t="s">
        <v>155</v>
      </c>
      <c r="E1728">
        <v>31</v>
      </c>
      <c r="F1728">
        <v>282.93885875156894</v>
      </c>
      <c r="G1728">
        <v>141.46942937578447</v>
      </c>
      <c r="H1728">
        <v>44770</v>
      </c>
    </row>
    <row r="1729" spans="1:12" x14ac:dyDescent="0.35">
      <c r="A1729" t="s">
        <v>210</v>
      </c>
      <c r="B1729" t="s">
        <v>518</v>
      </c>
      <c r="C1729" t="s">
        <v>302</v>
      </c>
      <c r="D1729" t="s">
        <v>155</v>
      </c>
      <c r="E1729">
        <v>2</v>
      </c>
      <c r="F1729">
        <v>1.557239390475667</v>
      </c>
      <c r="G1729">
        <v>0.46717181714270006</v>
      </c>
      <c r="H1729">
        <v>44770</v>
      </c>
    </row>
    <row r="1730" spans="1:12" x14ac:dyDescent="0.35">
      <c r="A1730" t="s">
        <v>401</v>
      </c>
      <c r="B1730" t="s">
        <v>518</v>
      </c>
      <c r="C1730" t="s">
        <v>302</v>
      </c>
      <c r="D1730" t="s">
        <v>155</v>
      </c>
      <c r="E1730">
        <v>66</v>
      </c>
      <c r="F1730">
        <v>203.70048543905409</v>
      </c>
      <c r="G1730">
        <v>101.85024271952705</v>
      </c>
      <c r="H1730">
        <v>44770</v>
      </c>
    </row>
    <row r="1731" spans="1:12" x14ac:dyDescent="0.35">
      <c r="A1731" t="s">
        <v>458</v>
      </c>
      <c r="B1731" t="s">
        <v>518</v>
      </c>
      <c r="C1731" t="s">
        <v>302</v>
      </c>
      <c r="D1731" t="s">
        <v>155</v>
      </c>
      <c r="E1731">
        <v>2</v>
      </c>
      <c r="F1731">
        <v>5.4906730722306873</v>
      </c>
      <c r="G1731">
        <v>2.7453365361153437</v>
      </c>
      <c r="H1731">
        <v>44770</v>
      </c>
    </row>
    <row r="1732" spans="1:12" x14ac:dyDescent="0.35">
      <c r="A1732" t="s">
        <v>287</v>
      </c>
      <c r="B1732" t="s">
        <v>518</v>
      </c>
      <c r="C1732" t="s">
        <v>302</v>
      </c>
      <c r="D1732" t="s">
        <v>155</v>
      </c>
      <c r="E1732">
        <v>4</v>
      </c>
      <c r="F1732">
        <v>11.605982594167493</v>
      </c>
      <c r="G1732">
        <v>5.8029912970837465</v>
      </c>
      <c r="H1732">
        <v>44770</v>
      </c>
    </row>
    <row r="1733" spans="1:12" x14ac:dyDescent="0.35">
      <c r="A1733" t="s">
        <v>418</v>
      </c>
      <c r="B1733" t="s">
        <v>518</v>
      </c>
      <c r="C1733" t="s">
        <v>302</v>
      </c>
      <c r="D1733" t="s">
        <v>155</v>
      </c>
      <c r="E1733">
        <v>1</v>
      </c>
      <c r="F1733">
        <v>0.76054972190036074</v>
      </c>
      <c r="G1733">
        <v>0.38027486095018037</v>
      </c>
      <c r="H1733">
        <v>44770</v>
      </c>
    </row>
    <row r="1734" spans="1:12" x14ac:dyDescent="0.35">
      <c r="A1734" t="s">
        <v>230</v>
      </c>
      <c r="B1734" t="s">
        <v>518</v>
      </c>
      <c r="C1734" t="s">
        <v>302</v>
      </c>
      <c r="D1734" t="s">
        <v>155</v>
      </c>
      <c r="E1734">
        <v>81</v>
      </c>
      <c r="F1734">
        <v>254.78766033038326</v>
      </c>
      <c r="G1734">
        <v>127.39383016519163</v>
      </c>
      <c r="H1734">
        <v>44770</v>
      </c>
    </row>
    <row r="1735" spans="1:12" x14ac:dyDescent="0.35">
      <c r="A1735" t="s">
        <v>425</v>
      </c>
      <c r="B1735" t="s">
        <v>518</v>
      </c>
      <c r="C1735" t="s">
        <v>302</v>
      </c>
      <c r="D1735" t="s">
        <v>155</v>
      </c>
      <c r="E1735">
        <v>8</v>
      </c>
      <c r="F1735">
        <v>28.462545816083011</v>
      </c>
      <c r="G1735">
        <v>14.231272908041506</v>
      </c>
      <c r="H1735">
        <v>44770</v>
      </c>
    </row>
    <row r="1736" spans="1:12" x14ac:dyDescent="0.35">
      <c r="A1736" t="s">
        <v>366</v>
      </c>
      <c r="B1736" t="s">
        <v>522</v>
      </c>
      <c r="C1736" t="s">
        <v>302</v>
      </c>
      <c r="D1736" t="s">
        <v>155</v>
      </c>
      <c r="E1736">
        <v>14</v>
      </c>
      <c r="F1736">
        <v>37.318543659000007</v>
      </c>
      <c r="G1736">
        <v>18.659271829999998</v>
      </c>
      <c r="H1736">
        <v>44770</v>
      </c>
      <c r="L1736">
        <v>45442</v>
      </c>
    </row>
    <row r="1737" spans="1:12" x14ac:dyDescent="0.35">
      <c r="A1737" t="s">
        <v>332</v>
      </c>
      <c r="B1737" t="s">
        <v>518</v>
      </c>
      <c r="C1737" t="s">
        <v>302</v>
      </c>
      <c r="D1737" t="s">
        <v>155</v>
      </c>
      <c r="E1737">
        <v>56</v>
      </c>
      <c r="F1737">
        <v>208.50505008132248</v>
      </c>
      <c r="G1737">
        <v>83.402020032529038</v>
      </c>
      <c r="H1737">
        <v>44770</v>
      </c>
    </row>
    <row r="1738" spans="1:12" x14ac:dyDescent="0.35">
      <c r="A1738" t="s">
        <v>314</v>
      </c>
      <c r="B1738" t="s">
        <v>518</v>
      </c>
      <c r="C1738" t="s">
        <v>302</v>
      </c>
      <c r="D1738" t="s">
        <v>155</v>
      </c>
      <c r="E1738">
        <v>92</v>
      </c>
      <c r="F1738">
        <v>304.51708912089805</v>
      </c>
      <c r="G1738">
        <v>91.355126736269398</v>
      </c>
      <c r="H1738">
        <v>44770</v>
      </c>
      <c r="J1738">
        <v>44770</v>
      </c>
      <c r="K1738" t="s">
        <v>523</v>
      </c>
      <c r="L1738">
        <v>45167</v>
      </c>
    </row>
    <row r="1739" spans="1:12" x14ac:dyDescent="0.35">
      <c r="A1739" t="s">
        <v>30</v>
      </c>
      <c r="B1739" t="s">
        <v>518</v>
      </c>
      <c r="C1739" t="s">
        <v>302</v>
      </c>
      <c r="D1739" t="s">
        <v>155</v>
      </c>
      <c r="E1739">
        <v>27</v>
      </c>
      <c r="F1739">
        <v>244.8965364563762</v>
      </c>
      <c r="G1739">
        <v>122.4482682281881</v>
      </c>
      <c r="H1739">
        <v>44770</v>
      </c>
    </row>
    <row r="1740" spans="1:12" x14ac:dyDescent="0.35">
      <c r="A1740" t="s">
        <v>347</v>
      </c>
      <c r="B1740" t="s">
        <v>518</v>
      </c>
      <c r="C1740" t="s">
        <v>302</v>
      </c>
      <c r="D1740" t="s">
        <v>155</v>
      </c>
      <c r="E1740">
        <v>3</v>
      </c>
      <c r="F1740">
        <v>10.881143103082454</v>
      </c>
      <c r="G1740">
        <v>3.2643429309247365</v>
      </c>
      <c r="H1740">
        <v>44770</v>
      </c>
    </row>
    <row r="1741" spans="1:12" x14ac:dyDescent="0.35">
      <c r="A1741" t="s">
        <v>420</v>
      </c>
      <c r="B1741" t="s">
        <v>518</v>
      </c>
      <c r="C1741" t="s">
        <v>302</v>
      </c>
      <c r="D1741" t="s">
        <v>155</v>
      </c>
      <c r="E1741">
        <v>1</v>
      </c>
      <c r="F1741">
        <v>2.7453365361153437</v>
      </c>
      <c r="G1741">
        <v>1.3726682680576718</v>
      </c>
      <c r="H1741">
        <v>44770</v>
      </c>
    </row>
    <row r="1742" spans="1:12" x14ac:dyDescent="0.35">
      <c r="A1742" t="s">
        <v>464</v>
      </c>
      <c r="B1742" t="s">
        <v>518</v>
      </c>
      <c r="C1742" t="s">
        <v>302</v>
      </c>
      <c r="D1742" t="s">
        <v>155</v>
      </c>
      <c r="E1742">
        <v>10</v>
      </c>
      <c r="F1742">
        <v>80.361083219704511</v>
      </c>
      <c r="G1742">
        <v>40.180541609852256</v>
      </c>
      <c r="H1742">
        <v>44770</v>
      </c>
    </row>
    <row r="1743" spans="1:12" x14ac:dyDescent="0.35">
      <c r="A1743" t="s">
        <v>388</v>
      </c>
      <c r="B1743" t="s">
        <v>518</v>
      </c>
      <c r="C1743" t="s">
        <v>302</v>
      </c>
      <c r="D1743" t="s">
        <v>155</v>
      </c>
      <c r="E1743">
        <v>3592</v>
      </c>
      <c r="F1743">
        <v>11683.971904230411</v>
      </c>
      <c r="G1743">
        <v>5841.9859521152057</v>
      </c>
      <c r="H1743">
        <v>44770</v>
      </c>
      <c r="J1743">
        <v>44770</v>
      </c>
      <c r="K1743" t="s">
        <v>524</v>
      </c>
      <c r="L1743">
        <v>44816</v>
      </c>
    </row>
    <row r="1744" spans="1:12" x14ac:dyDescent="0.35">
      <c r="A1744" t="s">
        <v>436</v>
      </c>
      <c r="B1744" t="s">
        <v>518</v>
      </c>
      <c r="C1744" t="s">
        <v>302</v>
      </c>
      <c r="D1744" t="s">
        <v>155</v>
      </c>
      <c r="E1744">
        <v>136</v>
      </c>
      <c r="F1744">
        <v>446.10917216748499</v>
      </c>
      <c r="G1744">
        <v>223.05458608374249</v>
      </c>
      <c r="H1744">
        <v>44770</v>
      </c>
      <c r="L1744">
        <v>45261</v>
      </c>
    </row>
    <row r="1745" spans="1:12" x14ac:dyDescent="0.35">
      <c r="A1745" t="s">
        <v>525</v>
      </c>
      <c r="B1745" t="s">
        <v>526</v>
      </c>
      <c r="C1745" t="s">
        <v>302</v>
      </c>
      <c r="D1745" t="s">
        <v>155</v>
      </c>
      <c r="E1745">
        <v>559</v>
      </c>
      <c r="F1745">
        <v>4680</v>
      </c>
      <c r="G1745">
        <v>2808</v>
      </c>
      <c r="H1745">
        <v>44791</v>
      </c>
      <c r="L1745">
        <v>44791</v>
      </c>
    </row>
    <row r="1746" spans="1:12" x14ac:dyDescent="0.35">
      <c r="A1746" t="s">
        <v>359</v>
      </c>
      <c r="B1746" t="s">
        <v>518</v>
      </c>
      <c r="C1746" t="s">
        <v>302</v>
      </c>
      <c r="D1746" t="s">
        <v>155</v>
      </c>
      <c r="E1746">
        <v>3</v>
      </c>
      <c r="F1746">
        <v>10.201029694451549</v>
      </c>
      <c r="G1746">
        <v>5.1005148472257744</v>
      </c>
      <c r="H1746">
        <v>44770</v>
      </c>
    </row>
    <row r="1747" spans="1:12" x14ac:dyDescent="0.35">
      <c r="A1747" t="s">
        <v>190</v>
      </c>
      <c r="B1747" t="s">
        <v>518</v>
      </c>
      <c r="C1747" t="s">
        <v>302</v>
      </c>
      <c r="D1747" t="s">
        <v>155</v>
      </c>
      <c r="E1747">
        <v>400</v>
      </c>
      <c r="F1747">
        <v>1764.5286356261051</v>
      </c>
      <c r="G1747">
        <v>882.26431781305257</v>
      </c>
      <c r="H1747">
        <v>44770</v>
      </c>
      <c r="L1747">
        <v>44949</v>
      </c>
    </row>
    <row r="1748" spans="1:12" x14ac:dyDescent="0.35">
      <c r="A1748" t="s">
        <v>450</v>
      </c>
      <c r="B1748" t="s">
        <v>527</v>
      </c>
      <c r="C1748" t="s">
        <v>302</v>
      </c>
      <c r="D1748" t="s">
        <v>155</v>
      </c>
      <c r="E1748">
        <v>348</v>
      </c>
      <c r="F1748">
        <v>1550.0864374744799</v>
      </c>
      <c r="G1748">
        <v>775.04321880823898</v>
      </c>
      <c r="H1748">
        <v>44770</v>
      </c>
      <c r="L1748">
        <v>44887</v>
      </c>
    </row>
    <row r="1749" spans="1:12" x14ac:dyDescent="0.35">
      <c r="A1749" t="s">
        <v>162</v>
      </c>
      <c r="B1749" t="s">
        <v>518</v>
      </c>
      <c r="C1749" t="s">
        <v>302</v>
      </c>
      <c r="D1749" t="s">
        <v>155</v>
      </c>
      <c r="E1749">
        <v>34</v>
      </c>
      <c r="F1749">
        <v>268.029993504613</v>
      </c>
      <c r="G1749">
        <v>160.81799610276781</v>
      </c>
      <c r="H1749">
        <v>44770</v>
      </c>
      <c r="L1749">
        <v>45044</v>
      </c>
    </row>
    <row r="1750" spans="1:12" x14ac:dyDescent="0.35">
      <c r="A1750" t="s">
        <v>452</v>
      </c>
      <c r="B1750" t="s">
        <v>518</v>
      </c>
      <c r="C1750" t="s">
        <v>302</v>
      </c>
      <c r="D1750" t="s">
        <v>155</v>
      </c>
      <c r="E1750">
        <v>658</v>
      </c>
      <c r="F1750">
        <v>2825.500129187054</v>
      </c>
      <c r="G1750">
        <v>1412.750064593527</v>
      </c>
      <c r="H1750">
        <v>44770</v>
      </c>
    </row>
    <row r="1751" spans="1:12" x14ac:dyDescent="0.35">
      <c r="A1751" t="s">
        <v>422</v>
      </c>
      <c r="B1751" t="s">
        <v>518</v>
      </c>
      <c r="C1751" t="s">
        <v>302</v>
      </c>
      <c r="D1751" t="s">
        <v>155</v>
      </c>
      <c r="E1751">
        <v>3</v>
      </c>
      <c r="F1751">
        <v>6.2512227941310483</v>
      </c>
      <c r="G1751">
        <v>3.1256113970655242</v>
      </c>
      <c r="H1751">
        <v>44770</v>
      </c>
    </row>
    <row r="1752" spans="1:12" x14ac:dyDescent="0.35">
      <c r="A1752" t="s">
        <v>457</v>
      </c>
      <c r="B1752" t="s">
        <v>518</v>
      </c>
      <c r="C1752" t="s">
        <v>302</v>
      </c>
      <c r="D1752" t="s">
        <v>155</v>
      </c>
      <c r="E1752">
        <v>67</v>
      </c>
      <c r="F1752">
        <v>211.48548919509881</v>
      </c>
      <c r="G1752">
        <v>105.7427445975494</v>
      </c>
      <c r="H1752">
        <v>44770</v>
      </c>
      <c r="L1752">
        <v>45257</v>
      </c>
    </row>
    <row r="1753" spans="1:12" x14ac:dyDescent="0.35">
      <c r="A1753" t="s">
        <v>528</v>
      </c>
      <c r="B1753" t="s">
        <v>518</v>
      </c>
      <c r="C1753" t="s">
        <v>302</v>
      </c>
      <c r="D1753" t="s">
        <v>155</v>
      </c>
      <c r="E1753">
        <v>39</v>
      </c>
      <c r="F1753">
        <v>665.05973290778888</v>
      </c>
      <c r="G1753">
        <v>332.52986645389399</v>
      </c>
      <c r="H1753">
        <v>44770</v>
      </c>
      <c r="L1753">
        <v>44998</v>
      </c>
    </row>
    <row r="1754" spans="1:12" x14ac:dyDescent="0.35">
      <c r="A1754" t="s">
        <v>481</v>
      </c>
      <c r="B1754" t="s">
        <v>518</v>
      </c>
      <c r="C1754" t="s">
        <v>302</v>
      </c>
      <c r="D1754" t="s">
        <v>155</v>
      </c>
      <c r="E1754">
        <v>3</v>
      </c>
      <c r="F1754">
        <v>10.843483033188855</v>
      </c>
      <c r="G1754">
        <v>5.4217415165944276</v>
      </c>
      <c r="H1754">
        <v>44770</v>
      </c>
    </row>
    <row r="1755" spans="1:12" x14ac:dyDescent="0.35">
      <c r="A1755" t="s">
        <v>390</v>
      </c>
      <c r="B1755" t="s">
        <v>518</v>
      </c>
      <c r="C1755" t="s">
        <v>302</v>
      </c>
      <c r="D1755" t="s">
        <v>155</v>
      </c>
      <c r="E1755">
        <v>548</v>
      </c>
      <c r="F1755">
        <v>1837.8759066508139</v>
      </c>
      <c r="G1755">
        <v>918.93795332540697</v>
      </c>
      <c r="H1755">
        <v>44770</v>
      </c>
      <c r="J1755">
        <v>44770</v>
      </c>
      <c r="K1755" t="s">
        <v>523</v>
      </c>
      <c r="L1755">
        <v>45055</v>
      </c>
    </row>
    <row r="1756" spans="1:12" x14ac:dyDescent="0.35">
      <c r="A1756" t="s">
        <v>482</v>
      </c>
      <c r="B1756" t="s">
        <v>518</v>
      </c>
      <c r="C1756" t="s">
        <v>302</v>
      </c>
      <c r="D1756" t="s">
        <v>155</v>
      </c>
      <c r="E1756">
        <v>37</v>
      </c>
      <c r="F1756">
        <v>112.58890211407626</v>
      </c>
      <c r="G1756">
        <v>56.294451057038131</v>
      </c>
      <c r="H1756">
        <v>44770</v>
      </c>
    </row>
    <row r="1757" spans="1:12" x14ac:dyDescent="0.35">
      <c r="A1757" t="s">
        <v>511</v>
      </c>
      <c r="B1757" t="s">
        <v>518</v>
      </c>
      <c r="C1757" t="s">
        <v>302</v>
      </c>
      <c r="D1757" t="s">
        <v>155</v>
      </c>
      <c r="E1757">
        <v>16</v>
      </c>
      <c r="F1757">
        <v>140.90645307712006</v>
      </c>
      <c r="G1757">
        <v>70.453226538560031</v>
      </c>
      <c r="H1757">
        <v>44770</v>
      </c>
    </row>
    <row r="1758" spans="1:12" x14ac:dyDescent="0.35">
      <c r="A1758" t="s">
        <v>283</v>
      </c>
      <c r="B1758" t="s">
        <v>518</v>
      </c>
      <c r="C1758" t="s">
        <v>302</v>
      </c>
      <c r="D1758" t="s">
        <v>155</v>
      </c>
      <c r="E1758">
        <v>2147</v>
      </c>
      <c r="F1758">
        <v>5698.9365192498299</v>
      </c>
      <c r="G1758">
        <v>2849.4682596249149</v>
      </c>
      <c r="H1758">
        <v>44770</v>
      </c>
      <c r="L1758">
        <v>44812</v>
      </c>
    </row>
    <row r="1759" spans="1:12" x14ac:dyDescent="0.35">
      <c r="A1759" t="s">
        <v>306</v>
      </c>
      <c r="B1759" t="s">
        <v>518</v>
      </c>
      <c r="C1759" t="s">
        <v>302</v>
      </c>
      <c r="D1759" t="s">
        <v>155</v>
      </c>
      <c r="E1759">
        <v>1108</v>
      </c>
      <c r="F1759">
        <v>3359.5636236765245</v>
      </c>
      <c r="G1759">
        <v>1679.7818118382622</v>
      </c>
      <c r="H1759">
        <v>44770</v>
      </c>
      <c r="L1759">
        <v>44812</v>
      </c>
    </row>
    <row r="1760" spans="1:12" x14ac:dyDescent="0.35">
      <c r="A1760" t="s">
        <v>456</v>
      </c>
      <c r="B1760" t="s">
        <v>518</v>
      </c>
      <c r="C1760" t="s">
        <v>302</v>
      </c>
      <c r="D1760" t="s">
        <v>155</v>
      </c>
      <c r="E1760">
        <v>8</v>
      </c>
      <c r="F1760">
        <v>37.254617655694865</v>
      </c>
      <c r="G1760">
        <v>18.627308827847433</v>
      </c>
      <c r="H1760">
        <v>44770</v>
      </c>
    </row>
    <row r="1761" spans="1:12" x14ac:dyDescent="0.35">
      <c r="A1761" t="s">
        <v>529</v>
      </c>
      <c r="B1761" t="s">
        <v>518</v>
      </c>
      <c r="C1761" t="s">
        <v>302</v>
      </c>
      <c r="D1761" t="s">
        <v>155</v>
      </c>
      <c r="E1761">
        <v>67</v>
      </c>
      <c r="F1761">
        <v>500.07999780241977</v>
      </c>
      <c r="G1761">
        <v>250.03999890120988</v>
      </c>
      <c r="H1761">
        <v>44770</v>
      </c>
      <c r="L1761">
        <v>45679</v>
      </c>
    </row>
    <row r="1762" spans="1:12" x14ac:dyDescent="0.35">
      <c r="A1762" t="s">
        <v>268</v>
      </c>
      <c r="B1762" t="s">
        <v>518</v>
      </c>
      <c r="C1762" t="s">
        <v>302</v>
      </c>
      <c r="D1762" t="s">
        <v>155</v>
      </c>
      <c r="E1762">
        <v>16</v>
      </c>
      <c r="F1762">
        <v>118.85330640878462</v>
      </c>
      <c r="G1762">
        <v>47.541322563513873</v>
      </c>
      <c r="H1762">
        <v>44770</v>
      </c>
    </row>
    <row r="1763" spans="1:12" x14ac:dyDescent="0.35">
      <c r="A1763" t="s">
        <v>530</v>
      </c>
      <c r="B1763" t="s">
        <v>531</v>
      </c>
      <c r="C1763" t="s">
        <v>302</v>
      </c>
      <c r="D1763" t="s">
        <v>155</v>
      </c>
      <c r="E1763">
        <v>261</v>
      </c>
      <c r="F1763">
        <v>4281</v>
      </c>
      <c r="G1763">
        <v>2140</v>
      </c>
      <c r="H1763">
        <v>44770</v>
      </c>
    </row>
    <row r="1764" spans="1:12" x14ac:dyDescent="0.35">
      <c r="A1764" t="s">
        <v>507</v>
      </c>
      <c r="B1764" t="s">
        <v>518</v>
      </c>
      <c r="C1764" t="s">
        <v>302</v>
      </c>
      <c r="D1764" t="s">
        <v>155</v>
      </c>
      <c r="E1764">
        <v>1</v>
      </c>
      <c r="F1764">
        <v>18.665291862137565</v>
      </c>
      <c r="G1764">
        <v>11.199175117282538</v>
      </c>
      <c r="H1764">
        <v>44770</v>
      </c>
    </row>
    <row r="1765" spans="1:12" x14ac:dyDescent="0.35">
      <c r="A1765" t="s">
        <v>440</v>
      </c>
      <c r="B1765" t="s">
        <v>518</v>
      </c>
      <c r="C1765" t="s">
        <v>302</v>
      </c>
      <c r="D1765" t="s">
        <v>155</v>
      </c>
      <c r="E1765">
        <v>26</v>
      </c>
      <c r="F1765">
        <v>231.85671809638743</v>
      </c>
      <c r="G1765">
        <v>115.92835904819371</v>
      </c>
      <c r="H1765">
        <v>44770</v>
      </c>
    </row>
    <row r="1766" spans="1:12" x14ac:dyDescent="0.35">
      <c r="A1766" t="s">
        <v>400</v>
      </c>
      <c r="B1766" t="s">
        <v>518</v>
      </c>
      <c r="C1766" t="s">
        <v>302</v>
      </c>
      <c r="D1766" t="s">
        <v>155</v>
      </c>
      <c r="E1766">
        <v>1712</v>
      </c>
      <c r="F1766">
        <v>6291.2789578960737</v>
      </c>
      <c r="G1766">
        <v>4089.3313226324763</v>
      </c>
      <c r="H1766">
        <v>44770</v>
      </c>
      <c r="L1766">
        <v>44939</v>
      </c>
    </row>
    <row r="1767" spans="1:12" x14ac:dyDescent="0.35">
      <c r="A1767" t="s">
        <v>532</v>
      </c>
      <c r="B1767" t="s">
        <v>533</v>
      </c>
      <c r="C1767" t="s">
        <v>302</v>
      </c>
      <c r="D1767" t="s">
        <v>155</v>
      </c>
      <c r="E1767">
        <v>104</v>
      </c>
      <c r="F1767">
        <v>147.89351759810151</v>
      </c>
      <c r="G1767">
        <v>73.946758799050755</v>
      </c>
      <c r="H1767">
        <v>44874</v>
      </c>
      <c r="L1767">
        <v>44887</v>
      </c>
    </row>
    <row r="1768" spans="1:12" x14ac:dyDescent="0.35">
      <c r="A1768" t="s">
        <v>534</v>
      </c>
      <c r="B1768" t="s">
        <v>535</v>
      </c>
      <c r="C1768" t="s">
        <v>302</v>
      </c>
      <c r="D1768" t="s">
        <v>155</v>
      </c>
      <c r="E1768">
        <v>23</v>
      </c>
      <c r="F1768">
        <v>103.064081714</v>
      </c>
      <c r="G1768">
        <v>51.532040856000002</v>
      </c>
      <c r="H1768">
        <v>44887</v>
      </c>
      <c r="L1768">
        <v>44887</v>
      </c>
    </row>
    <row r="1769" spans="1:12" x14ac:dyDescent="0.35">
      <c r="A1769" t="s">
        <v>450</v>
      </c>
      <c r="B1769" t="s">
        <v>527</v>
      </c>
      <c r="C1769" t="s">
        <v>246</v>
      </c>
      <c r="D1769" t="s">
        <v>155</v>
      </c>
      <c r="E1769">
        <v>27618</v>
      </c>
      <c r="F1769">
        <v>0</v>
      </c>
      <c r="G1769">
        <v>2209</v>
      </c>
      <c r="H1769">
        <v>44887</v>
      </c>
      <c r="L1769">
        <v>44887</v>
      </c>
    </row>
    <row r="1770" spans="1:12" x14ac:dyDescent="0.35">
      <c r="A1770" t="s">
        <v>475</v>
      </c>
      <c r="B1770" t="s">
        <v>536</v>
      </c>
      <c r="C1770" t="s">
        <v>302</v>
      </c>
      <c r="D1770" t="s">
        <v>155</v>
      </c>
      <c r="E1770">
        <v>8</v>
      </c>
      <c r="F1770">
        <v>85</v>
      </c>
      <c r="G1770">
        <v>43</v>
      </c>
      <c r="H1770">
        <v>44842</v>
      </c>
    </row>
    <row r="1771" spans="1:12" x14ac:dyDescent="0.35">
      <c r="A1771" t="s">
        <v>379</v>
      </c>
      <c r="B1771" t="s">
        <v>536</v>
      </c>
      <c r="C1771" t="s">
        <v>302</v>
      </c>
      <c r="D1771" t="s">
        <v>155</v>
      </c>
      <c r="E1771">
        <v>2</v>
      </c>
      <c r="F1771">
        <v>0</v>
      </c>
      <c r="G1771">
        <v>0</v>
      </c>
      <c r="H1771">
        <v>44842</v>
      </c>
    </row>
    <row r="1772" spans="1:12" x14ac:dyDescent="0.35">
      <c r="A1772" t="s">
        <v>435</v>
      </c>
      <c r="B1772" t="s">
        <v>536</v>
      </c>
      <c r="C1772" t="s">
        <v>302</v>
      </c>
      <c r="D1772" t="s">
        <v>155</v>
      </c>
      <c r="E1772">
        <v>1745</v>
      </c>
      <c r="F1772">
        <v>6572</v>
      </c>
      <c r="G1772">
        <v>3286</v>
      </c>
      <c r="H1772">
        <v>44842</v>
      </c>
    </row>
    <row r="1773" spans="1:12" x14ac:dyDescent="0.35">
      <c r="A1773" t="s">
        <v>381</v>
      </c>
      <c r="B1773" t="s">
        <v>536</v>
      </c>
      <c r="C1773" t="s">
        <v>302</v>
      </c>
      <c r="D1773" t="s">
        <v>155</v>
      </c>
      <c r="E1773">
        <v>6</v>
      </c>
      <c r="F1773">
        <v>19</v>
      </c>
      <c r="G1773">
        <v>8</v>
      </c>
      <c r="H1773">
        <v>44842</v>
      </c>
    </row>
    <row r="1774" spans="1:12" x14ac:dyDescent="0.35">
      <c r="A1774" t="s">
        <v>463</v>
      </c>
      <c r="B1774" t="s">
        <v>536</v>
      </c>
      <c r="C1774" t="s">
        <v>302</v>
      </c>
      <c r="D1774" t="s">
        <v>155</v>
      </c>
      <c r="E1774">
        <v>456</v>
      </c>
      <c r="F1774">
        <v>1979</v>
      </c>
      <c r="G1774">
        <v>990</v>
      </c>
      <c r="H1774">
        <v>44842</v>
      </c>
    </row>
    <row r="1775" spans="1:12" x14ac:dyDescent="0.35">
      <c r="A1775" t="s">
        <v>383</v>
      </c>
      <c r="B1775" t="s">
        <v>536</v>
      </c>
      <c r="C1775" t="s">
        <v>302</v>
      </c>
      <c r="D1775" t="s">
        <v>155</v>
      </c>
      <c r="E1775">
        <v>352</v>
      </c>
      <c r="F1775">
        <v>1207</v>
      </c>
      <c r="G1775">
        <v>483</v>
      </c>
      <c r="H1775">
        <v>44842</v>
      </c>
      <c r="L1775">
        <v>45063</v>
      </c>
    </row>
    <row r="1776" spans="1:12" x14ac:dyDescent="0.35">
      <c r="A1776" t="s">
        <v>357</v>
      </c>
      <c r="B1776" t="s">
        <v>536</v>
      </c>
      <c r="C1776" t="s">
        <v>302</v>
      </c>
      <c r="D1776" t="s">
        <v>155</v>
      </c>
      <c r="E1776">
        <v>18</v>
      </c>
      <c r="F1776">
        <v>57</v>
      </c>
      <c r="G1776">
        <v>28</v>
      </c>
      <c r="H1776">
        <v>44842</v>
      </c>
    </row>
    <row r="1777" spans="1:12" x14ac:dyDescent="0.35">
      <c r="A1777" t="s">
        <v>375</v>
      </c>
      <c r="B1777" t="s">
        <v>536</v>
      </c>
      <c r="C1777" t="s">
        <v>302</v>
      </c>
      <c r="D1777" t="s">
        <v>155</v>
      </c>
      <c r="E1777">
        <v>525</v>
      </c>
      <c r="F1777">
        <v>1985</v>
      </c>
      <c r="G1777">
        <v>993</v>
      </c>
      <c r="H1777">
        <v>44842</v>
      </c>
      <c r="L1777">
        <v>45133</v>
      </c>
    </row>
    <row r="1778" spans="1:12" x14ac:dyDescent="0.35">
      <c r="A1778" t="s">
        <v>386</v>
      </c>
      <c r="B1778" t="s">
        <v>536</v>
      </c>
      <c r="C1778" t="s">
        <v>302</v>
      </c>
      <c r="D1778" t="s">
        <v>155</v>
      </c>
      <c r="E1778">
        <v>24</v>
      </c>
      <c r="F1778">
        <v>104</v>
      </c>
      <c r="G1778">
        <v>52</v>
      </c>
      <c r="H1778">
        <v>44842</v>
      </c>
      <c r="L1778">
        <v>45106</v>
      </c>
    </row>
    <row r="1779" spans="1:12" x14ac:dyDescent="0.35">
      <c r="A1779" t="s">
        <v>520</v>
      </c>
      <c r="B1779" t="s">
        <v>536</v>
      </c>
      <c r="C1779" t="s">
        <v>302</v>
      </c>
      <c r="D1779" t="s">
        <v>155</v>
      </c>
      <c r="E1779">
        <v>79</v>
      </c>
      <c r="F1779">
        <v>277</v>
      </c>
      <c r="G1779">
        <v>139</v>
      </c>
      <c r="H1779">
        <v>44842</v>
      </c>
    </row>
    <row r="1780" spans="1:12" x14ac:dyDescent="0.35">
      <c r="A1780" t="s">
        <v>477</v>
      </c>
      <c r="B1780" t="s">
        <v>536</v>
      </c>
      <c r="C1780" t="s">
        <v>302</v>
      </c>
      <c r="D1780" t="s">
        <v>155</v>
      </c>
      <c r="E1780">
        <v>6</v>
      </c>
      <c r="F1780">
        <v>23</v>
      </c>
      <c r="G1780">
        <v>11</v>
      </c>
      <c r="H1780">
        <v>44842</v>
      </c>
    </row>
    <row r="1781" spans="1:12" x14ac:dyDescent="0.35">
      <c r="A1781" t="s">
        <v>438</v>
      </c>
      <c r="B1781" t="s">
        <v>536</v>
      </c>
      <c r="C1781" t="s">
        <v>302</v>
      </c>
      <c r="D1781" t="s">
        <v>155</v>
      </c>
      <c r="E1781">
        <v>1</v>
      </c>
      <c r="F1781">
        <v>4</v>
      </c>
      <c r="G1781">
        <v>2</v>
      </c>
      <c r="H1781">
        <v>44842</v>
      </c>
    </row>
    <row r="1782" spans="1:12" x14ac:dyDescent="0.35">
      <c r="A1782" t="s">
        <v>445</v>
      </c>
      <c r="B1782" t="s">
        <v>536</v>
      </c>
      <c r="C1782" t="s">
        <v>302</v>
      </c>
      <c r="D1782" t="s">
        <v>155</v>
      </c>
      <c r="E1782">
        <v>13</v>
      </c>
      <c r="F1782">
        <v>44</v>
      </c>
      <c r="G1782">
        <v>22</v>
      </c>
      <c r="H1782">
        <v>44842</v>
      </c>
    </row>
    <row r="1783" spans="1:12" x14ac:dyDescent="0.35">
      <c r="A1783" t="s">
        <v>478</v>
      </c>
      <c r="B1783" t="s">
        <v>536</v>
      </c>
      <c r="C1783" t="s">
        <v>302</v>
      </c>
      <c r="D1783" t="s">
        <v>155</v>
      </c>
      <c r="E1783">
        <v>54</v>
      </c>
      <c r="F1783">
        <v>175</v>
      </c>
      <c r="G1783">
        <v>88</v>
      </c>
      <c r="H1783">
        <v>44842</v>
      </c>
      <c r="J1783">
        <v>44820</v>
      </c>
      <c r="K1783" t="s">
        <v>537</v>
      </c>
      <c r="L1783">
        <v>44986</v>
      </c>
    </row>
    <row r="1784" spans="1:12" x14ac:dyDescent="0.35">
      <c r="A1784" t="s">
        <v>459</v>
      </c>
      <c r="B1784" t="s">
        <v>536</v>
      </c>
      <c r="C1784" t="s">
        <v>302</v>
      </c>
      <c r="D1784" t="s">
        <v>155</v>
      </c>
      <c r="E1784">
        <v>15</v>
      </c>
      <c r="F1784">
        <v>93</v>
      </c>
      <c r="G1784">
        <v>46</v>
      </c>
      <c r="H1784">
        <v>44842</v>
      </c>
    </row>
    <row r="1785" spans="1:12" x14ac:dyDescent="0.35">
      <c r="A1785" t="s">
        <v>362</v>
      </c>
      <c r="B1785" t="s">
        <v>536</v>
      </c>
      <c r="C1785" t="s">
        <v>302</v>
      </c>
      <c r="D1785" t="s">
        <v>155</v>
      </c>
      <c r="E1785">
        <v>7</v>
      </c>
      <c r="F1785">
        <v>8</v>
      </c>
      <c r="G1785">
        <v>3</v>
      </c>
      <c r="H1785">
        <v>44842</v>
      </c>
    </row>
    <row r="1786" spans="1:12" x14ac:dyDescent="0.35">
      <c r="A1786" t="s">
        <v>416</v>
      </c>
      <c r="B1786" t="s">
        <v>536</v>
      </c>
      <c r="C1786" t="s">
        <v>302</v>
      </c>
      <c r="D1786" t="s">
        <v>155</v>
      </c>
      <c r="E1786">
        <v>9</v>
      </c>
      <c r="F1786">
        <v>34</v>
      </c>
      <c r="G1786">
        <v>17</v>
      </c>
      <c r="H1786">
        <v>44842</v>
      </c>
    </row>
    <row r="1787" spans="1:12" x14ac:dyDescent="0.35">
      <c r="A1787" t="s">
        <v>417</v>
      </c>
      <c r="B1787" t="s">
        <v>536</v>
      </c>
      <c r="C1787" t="s">
        <v>302</v>
      </c>
      <c r="D1787" t="s">
        <v>155</v>
      </c>
      <c r="E1787">
        <v>98</v>
      </c>
      <c r="F1787">
        <v>344</v>
      </c>
      <c r="G1787">
        <v>172</v>
      </c>
      <c r="H1787">
        <v>44842</v>
      </c>
    </row>
    <row r="1788" spans="1:12" x14ac:dyDescent="0.35">
      <c r="A1788" t="s">
        <v>387</v>
      </c>
      <c r="B1788" t="s">
        <v>536</v>
      </c>
      <c r="C1788" t="s">
        <v>302</v>
      </c>
      <c r="D1788" t="s">
        <v>155</v>
      </c>
      <c r="E1788">
        <v>17</v>
      </c>
      <c r="F1788">
        <v>51</v>
      </c>
      <c r="G1788">
        <v>30</v>
      </c>
      <c r="H1788">
        <v>44842</v>
      </c>
      <c r="L1788">
        <v>44904</v>
      </c>
    </row>
    <row r="1789" spans="1:12" x14ac:dyDescent="0.35">
      <c r="A1789" t="s">
        <v>210</v>
      </c>
      <c r="B1789" t="s">
        <v>536</v>
      </c>
      <c r="C1789" t="s">
        <v>302</v>
      </c>
      <c r="D1789" t="s">
        <v>155</v>
      </c>
      <c r="E1789">
        <v>3</v>
      </c>
      <c r="F1789">
        <v>1</v>
      </c>
      <c r="G1789">
        <v>0</v>
      </c>
      <c r="H1789">
        <v>44842</v>
      </c>
    </row>
    <row r="1790" spans="1:12" x14ac:dyDescent="0.35">
      <c r="A1790" t="s">
        <v>401</v>
      </c>
      <c r="B1790" t="s">
        <v>536</v>
      </c>
      <c r="C1790" t="s">
        <v>302</v>
      </c>
      <c r="D1790" t="s">
        <v>155</v>
      </c>
      <c r="E1790">
        <v>37</v>
      </c>
      <c r="F1790">
        <v>144</v>
      </c>
      <c r="G1790">
        <v>72</v>
      </c>
      <c r="H1790">
        <v>44842</v>
      </c>
    </row>
    <row r="1791" spans="1:12" x14ac:dyDescent="0.35">
      <c r="A1791" t="s">
        <v>447</v>
      </c>
      <c r="B1791" t="s">
        <v>536</v>
      </c>
      <c r="C1791" t="s">
        <v>302</v>
      </c>
      <c r="D1791" t="s">
        <v>155</v>
      </c>
      <c r="E1791">
        <v>1</v>
      </c>
      <c r="F1791">
        <v>3.7704295988680201</v>
      </c>
      <c r="G1791">
        <v>1.88521479943401</v>
      </c>
      <c r="H1791">
        <v>44842</v>
      </c>
    </row>
    <row r="1792" spans="1:12" x14ac:dyDescent="0.35">
      <c r="A1792" t="s">
        <v>418</v>
      </c>
      <c r="B1792" t="s">
        <v>536</v>
      </c>
      <c r="C1792" t="s">
        <v>302</v>
      </c>
      <c r="D1792" t="s">
        <v>155</v>
      </c>
      <c r="E1792">
        <v>7</v>
      </c>
      <c r="F1792">
        <v>23</v>
      </c>
      <c r="G1792">
        <v>12</v>
      </c>
      <c r="H1792">
        <v>44842</v>
      </c>
    </row>
    <row r="1793" spans="1:12" x14ac:dyDescent="0.35">
      <c r="A1793" t="s">
        <v>230</v>
      </c>
      <c r="B1793" t="s">
        <v>536</v>
      </c>
      <c r="C1793" t="s">
        <v>302</v>
      </c>
      <c r="D1793" t="s">
        <v>155</v>
      </c>
      <c r="E1793">
        <v>22</v>
      </c>
      <c r="F1793">
        <v>83</v>
      </c>
      <c r="G1793">
        <v>41</v>
      </c>
      <c r="H1793">
        <v>44842</v>
      </c>
    </row>
    <row r="1794" spans="1:12" x14ac:dyDescent="0.35">
      <c r="A1794" t="s">
        <v>425</v>
      </c>
      <c r="B1794" t="s">
        <v>536</v>
      </c>
      <c r="C1794" t="s">
        <v>302</v>
      </c>
      <c r="D1794" t="s">
        <v>155</v>
      </c>
      <c r="E1794">
        <v>4</v>
      </c>
      <c r="F1794">
        <v>15.0817183954721</v>
      </c>
      <c r="G1794">
        <v>7.54085919773605</v>
      </c>
      <c r="H1794">
        <v>44842</v>
      </c>
    </row>
    <row r="1795" spans="1:12" x14ac:dyDescent="0.35">
      <c r="A1795" t="s">
        <v>332</v>
      </c>
      <c r="B1795" t="s">
        <v>536</v>
      </c>
      <c r="C1795" t="s">
        <v>302</v>
      </c>
      <c r="D1795" t="s">
        <v>155</v>
      </c>
      <c r="E1795">
        <v>1</v>
      </c>
      <c r="F1795">
        <v>17</v>
      </c>
      <c r="G1795">
        <v>7</v>
      </c>
      <c r="H1795">
        <v>44842</v>
      </c>
    </row>
    <row r="1796" spans="1:12" x14ac:dyDescent="0.35">
      <c r="A1796" t="s">
        <v>314</v>
      </c>
      <c r="B1796" t="s">
        <v>536</v>
      </c>
      <c r="C1796" t="s">
        <v>302</v>
      </c>
      <c r="D1796" t="s">
        <v>155</v>
      </c>
      <c r="E1796">
        <v>24</v>
      </c>
      <c r="F1796">
        <v>92</v>
      </c>
      <c r="G1796">
        <v>28</v>
      </c>
      <c r="H1796">
        <v>44842</v>
      </c>
      <c r="J1796">
        <v>44820</v>
      </c>
      <c r="K1796" t="s">
        <v>538</v>
      </c>
      <c r="L1796">
        <v>45167</v>
      </c>
    </row>
    <row r="1797" spans="1:12" x14ac:dyDescent="0.35">
      <c r="A1797" t="s">
        <v>30</v>
      </c>
      <c r="B1797" t="s">
        <v>536</v>
      </c>
      <c r="C1797" t="s">
        <v>302</v>
      </c>
      <c r="D1797" t="s">
        <v>155</v>
      </c>
      <c r="E1797">
        <v>10</v>
      </c>
      <c r="F1797">
        <v>89</v>
      </c>
      <c r="G1797">
        <v>44</v>
      </c>
      <c r="H1797">
        <v>44842</v>
      </c>
    </row>
    <row r="1798" spans="1:12" x14ac:dyDescent="0.35">
      <c r="A1798" t="s">
        <v>464</v>
      </c>
      <c r="B1798" t="s">
        <v>536</v>
      </c>
      <c r="C1798" t="s">
        <v>302</v>
      </c>
      <c r="D1798" t="s">
        <v>155</v>
      </c>
      <c r="E1798">
        <v>13</v>
      </c>
      <c r="F1798">
        <v>46</v>
      </c>
      <c r="G1798">
        <v>23</v>
      </c>
      <c r="H1798">
        <v>44842</v>
      </c>
    </row>
    <row r="1799" spans="1:12" x14ac:dyDescent="0.35">
      <c r="A1799" t="s">
        <v>388</v>
      </c>
      <c r="B1799" t="s">
        <v>536</v>
      </c>
      <c r="C1799" t="s">
        <v>302</v>
      </c>
      <c r="D1799" t="s">
        <v>155</v>
      </c>
      <c r="E1799">
        <v>604</v>
      </c>
      <c r="F1799">
        <v>2319</v>
      </c>
      <c r="G1799">
        <v>1160</v>
      </c>
      <c r="H1799">
        <v>44842</v>
      </c>
      <c r="L1799">
        <v>44890</v>
      </c>
    </row>
    <row r="1800" spans="1:12" x14ac:dyDescent="0.35">
      <c r="A1800" t="s">
        <v>436</v>
      </c>
      <c r="B1800" t="s">
        <v>536</v>
      </c>
      <c r="C1800" t="s">
        <v>302</v>
      </c>
      <c r="D1800" t="s">
        <v>155</v>
      </c>
      <c r="E1800">
        <v>37</v>
      </c>
      <c r="F1800">
        <v>140</v>
      </c>
      <c r="G1800">
        <v>70</v>
      </c>
      <c r="H1800">
        <v>44842</v>
      </c>
      <c r="L1800">
        <v>45261</v>
      </c>
    </row>
    <row r="1801" spans="1:12" x14ac:dyDescent="0.35">
      <c r="A1801" t="s">
        <v>525</v>
      </c>
      <c r="B1801" t="s">
        <v>536</v>
      </c>
      <c r="C1801" t="s">
        <v>302</v>
      </c>
      <c r="D1801" t="s">
        <v>155</v>
      </c>
      <c r="E1801">
        <v>252</v>
      </c>
      <c r="F1801">
        <v>920</v>
      </c>
      <c r="G1801">
        <v>552</v>
      </c>
      <c r="H1801">
        <v>44842</v>
      </c>
    </row>
    <row r="1802" spans="1:12" x14ac:dyDescent="0.35">
      <c r="A1802" t="s">
        <v>359</v>
      </c>
      <c r="B1802" t="s">
        <v>536</v>
      </c>
      <c r="C1802" t="s">
        <v>302</v>
      </c>
      <c r="D1802" t="s">
        <v>155</v>
      </c>
      <c r="E1802">
        <v>21</v>
      </c>
      <c r="F1802">
        <v>79</v>
      </c>
      <c r="G1802">
        <v>40</v>
      </c>
      <c r="H1802">
        <v>44842</v>
      </c>
    </row>
    <row r="1803" spans="1:12" x14ac:dyDescent="0.35">
      <c r="A1803" t="s">
        <v>190</v>
      </c>
      <c r="B1803" t="s">
        <v>539</v>
      </c>
      <c r="C1803" t="s">
        <v>302</v>
      </c>
      <c r="D1803" t="s">
        <v>155</v>
      </c>
      <c r="E1803">
        <v>184</v>
      </c>
      <c r="F1803">
        <v>751</v>
      </c>
      <c r="G1803">
        <v>376</v>
      </c>
      <c r="H1803">
        <v>44842</v>
      </c>
      <c r="L1803">
        <v>44949</v>
      </c>
    </row>
    <row r="1804" spans="1:12" x14ac:dyDescent="0.35">
      <c r="A1804" t="s">
        <v>162</v>
      </c>
      <c r="B1804" t="s">
        <v>536</v>
      </c>
      <c r="C1804" t="s">
        <v>302</v>
      </c>
      <c r="D1804" t="s">
        <v>155</v>
      </c>
      <c r="E1804">
        <v>43</v>
      </c>
      <c r="F1804">
        <v>319</v>
      </c>
      <c r="G1804">
        <v>192</v>
      </c>
      <c r="H1804">
        <v>44842</v>
      </c>
      <c r="L1804">
        <v>45044</v>
      </c>
    </row>
    <row r="1805" spans="1:12" x14ac:dyDescent="0.35">
      <c r="A1805" t="s">
        <v>452</v>
      </c>
      <c r="B1805" t="s">
        <v>536</v>
      </c>
      <c r="C1805" t="s">
        <v>302</v>
      </c>
      <c r="D1805" t="s">
        <v>155</v>
      </c>
      <c r="E1805">
        <v>139</v>
      </c>
      <c r="F1805">
        <v>625</v>
      </c>
      <c r="G1805">
        <v>312</v>
      </c>
      <c r="H1805">
        <v>44842</v>
      </c>
    </row>
    <row r="1806" spans="1:12" x14ac:dyDescent="0.35">
      <c r="A1806" t="s">
        <v>422</v>
      </c>
      <c r="B1806" t="s">
        <v>536</v>
      </c>
      <c r="C1806" t="s">
        <v>302</v>
      </c>
      <c r="D1806" t="s">
        <v>155</v>
      </c>
      <c r="E1806">
        <v>1</v>
      </c>
      <c r="F1806">
        <v>4</v>
      </c>
      <c r="G1806">
        <v>2</v>
      </c>
      <c r="H1806">
        <v>44842</v>
      </c>
    </row>
    <row r="1807" spans="1:12" x14ac:dyDescent="0.35">
      <c r="A1807" t="s">
        <v>528</v>
      </c>
      <c r="B1807" t="s">
        <v>536</v>
      </c>
      <c r="C1807" t="s">
        <v>302</v>
      </c>
      <c r="D1807" t="s">
        <v>155</v>
      </c>
      <c r="E1807">
        <v>6</v>
      </c>
      <c r="F1807">
        <v>46</v>
      </c>
      <c r="G1807">
        <v>23</v>
      </c>
      <c r="H1807">
        <v>44842</v>
      </c>
      <c r="L1807">
        <v>44998</v>
      </c>
    </row>
    <row r="1808" spans="1:12" x14ac:dyDescent="0.35">
      <c r="A1808" t="s">
        <v>481</v>
      </c>
      <c r="B1808" t="s">
        <v>536</v>
      </c>
      <c r="C1808" t="s">
        <v>302</v>
      </c>
      <c r="D1808" t="s">
        <v>155</v>
      </c>
      <c r="E1808">
        <v>3</v>
      </c>
      <c r="F1808">
        <v>11</v>
      </c>
      <c r="G1808">
        <v>6</v>
      </c>
      <c r="H1808">
        <v>44842</v>
      </c>
    </row>
    <row r="1809" spans="1:12" x14ac:dyDescent="0.35">
      <c r="A1809" t="s">
        <v>390</v>
      </c>
      <c r="B1809" t="s">
        <v>536</v>
      </c>
      <c r="C1809" t="s">
        <v>302</v>
      </c>
      <c r="D1809" t="s">
        <v>155</v>
      </c>
      <c r="E1809">
        <v>181</v>
      </c>
      <c r="F1809">
        <v>676</v>
      </c>
      <c r="G1809">
        <v>338</v>
      </c>
      <c r="H1809">
        <v>44842</v>
      </c>
      <c r="J1809">
        <v>44820</v>
      </c>
      <c r="K1809" t="s">
        <v>538</v>
      </c>
      <c r="L1809">
        <v>45055</v>
      </c>
    </row>
    <row r="1810" spans="1:12" x14ac:dyDescent="0.35">
      <c r="A1810" t="s">
        <v>482</v>
      </c>
      <c r="B1810" t="s">
        <v>536</v>
      </c>
      <c r="C1810" t="s">
        <v>302</v>
      </c>
      <c r="D1810" t="s">
        <v>155</v>
      </c>
      <c r="E1810">
        <v>15</v>
      </c>
      <c r="F1810">
        <v>57</v>
      </c>
      <c r="G1810">
        <v>28</v>
      </c>
      <c r="H1810">
        <v>44842</v>
      </c>
    </row>
    <row r="1811" spans="1:12" x14ac:dyDescent="0.35">
      <c r="A1811" t="s">
        <v>511</v>
      </c>
      <c r="B1811" t="s">
        <v>536</v>
      </c>
      <c r="C1811" t="s">
        <v>302</v>
      </c>
      <c r="D1811" t="s">
        <v>155</v>
      </c>
      <c r="E1811">
        <v>1</v>
      </c>
      <c r="F1811">
        <v>4</v>
      </c>
      <c r="G1811">
        <v>2</v>
      </c>
      <c r="H1811">
        <v>44842</v>
      </c>
    </row>
    <row r="1812" spans="1:12" x14ac:dyDescent="0.35">
      <c r="A1812" t="s">
        <v>283</v>
      </c>
      <c r="B1812" t="s">
        <v>536</v>
      </c>
      <c r="C1812" t="s">
        <v>302</v>
      </c>
      <c r="D1812" t="s">
        <v>155</v>
      </c>
      <c r="E1812">
        <v>665</v>
      </c>
      <c r="F1812">
        <v>2381</v>
      </c>
      <c r="G1812">
        <v>1191</v>
      </c>
      <c r="H1812">
        <v>44842</v>
      </c>
      <c r="L1812">
        <v>44942</v>
      </c>
    </row>
    <row r="1813" spans="1:12" x14ac:dyDescent="0.35">
      <c r="A1813" t="s">
        <v>306</v>
      </c>
      <c r="B1813" t="s">
        <v>536</v>
      </c>
      <c r="C1813" t="s">
        <v>302</v>
      </c>
      <c r="D1813" t="s">
        <v>155</v>
      </c>
      <c r="E1813">
        <v>514</v>
      </c>
      <c r="F1813">
        <v>1934.9940150899317</v>
      </c>
      <c r="G1813">
        <v>967.49700754496587</v>
      </c>
      <c r="H1813">
        <v>44918</v>
      </c>
      <c r="L1813">
        <v>44942</v>
      </c>
    </row>
    <row r="1814" spans="1:12" x14ac:dyDescent="0.35">
      <c r="A1814" t="s">
        <v>456</v>
      </c>
      <c r="B1814" t="s">
        <v>536</v>
      </c>
      <c r="C1814" t="s">
        <v>302</v>
      </c>
      <c r="D1814" t="s">
        <v>155</v>
      </c>
      <c r="E1814">
        <v>2</v>
      </c>
      <c r="F1814">
        <v>8</v>
      </c>
      <c r="G1814">
        <v>4</v>
      </c>
      <c r="H1814">
        <v>44842</v>
      </c>
    </row>
    <row r="1815" spans="1:12" x14ac:dyDescent="0.35">
      <c r="A1815" t="s">
        <v>529</v>
      </c>
      <c r="B1815" t="s">
        <v>536</v>
      </c>
      <c r="C1815" t="s">
        <v>302</v>
      </c>
      <c r="D1815" t="s">
        <v>155</v>
      </c>
      <c r="E1815">
        <v>378</v>
      </c>
      <c r="F1815">
        <v>1519</v>
      </c>
      <c r="G1815">
        <v>759</v>
      </c>
      <c r="H1815">
        <v>44842</v>
      </c>
      <c r="L1815">
        <v>45679</v>
      </c>
    </row>
    <row r="1816" spans="1:12" x14ac:dyDescent="0.35">
      <c r="A1816" t="s">
        <v>268</v>
      </c>
      <c r="B1816" t="s">
        <v>536</v>
      </c>
      <c r="C1816" t="s">
        <v>302</v>
      </c>
      <c r="D1816" t="s">
        <v>155</v>
      </c>
      <c r="E1816">
        <v>3</v>
      </c>
      <c r="F1816">
        <v>11</v>
      </c>
      <c r="G1816">
        <v>5</v>
      </c>
      <c r="H1816">
        <v>44842</v>
      </c>
    </row>
    <row r="1817" spans="1:12" x14ac:dyDescent="0.35">
      <c r="A1817" t="s">
        <v>440</v>
      </c>
      <c r="B1817" t="s">
        <v>536</v>
      </c>
      <c r="C1817" t="s">
        <v>302</v>
      </c>
      <c r="D1817" t="s">
        <v>155</v>
      </c>
      <c r="E1817">
        <v>2</v>
      </c>
      <c r="F1817">
        <v>18</v>
      </c>
      <c r="G1817">
        <v>9</v>
      </c>
      <c r="H1817">
        <v>44842</v>
      </c>
    </row>
    <row r="1818" spans="1:12" x14ac:dyDescent="0.35">
      <c r="A1818" t="s">
        <v>400</v>
      </c>
      <c r="B1818" t="s">
        <v>536</v>
      </c>
      <c r="C1818" t="s">
        <v>302</v>
      </c>
      <c r="D1818" t="s">
        <v>155</v>
      </c>
      <c r="E1818">
        <v>369</v>
      </c>
      <c r="F1818">
        <v>1386</v>
      </c>
      <c r="G1818">
        <v>901</v>
      </c>
      <c r="H1818">
        <v>44842</v>
      </c>
      <c r="L1818">
        <v>44939</v>
      </c>
    </row>
    <row r="1819" spans="1:12" x14ac:dyDescent="0.35">
      <c r="A1819" t="s">
        <v>475</v>
      </c>
      <c r="B1819" t="s">
        <v>540</v>
      </c>
      <c r="C1819" t="s">
        <v>302</v>
      </c>
      <c r="D1819" t="s">
        <v>155</v>
      </c>
      <c r="E1819">
        <v>15</v>
      </c>
      <c r="F1819">
        <v>0</v>
      </c>
      <c r="G1819">
        <v>1</v>
      </c>
      <c r="H1819">
        <v>44856</v>
      </c>
    </row>
    <row r="1820" spans="1:12" x14ac:dyDescent="0.35">
      <c r="A1820" t="s">
        <v>435</v>
      </c>
      <c r="B1820" t="s">
        <v>540</v>
      </c>
      <c r="C1820" t="s">
        <v>302</v>
      </c>
      <c r="D1820" t="s">
        <v>155</v>
      </c>
      <c r="E1820">
        <v>2804</v>
      </c>
      <c r="F1820">
        <v>9736</v>
      </c>
      <c r="G1820">
        <v>4868</v>
      </c>
      <c r="H1820">
        <v>44856</v>
      </c>
    </row>
    <row r="1821" spans="1:12" x14ac:dyDescent="0.35">
      <c r="A1821" t="s">
        <v>463</v>
      </c>
      <c r="B1821" t="s">
        <v>540</v>
      </c>
      <c r="C1821" t="s">
        <v>302</v>
      </c>
      <c r="D1821" t="s">
        <v>155</v>
      </c>
      <c r="E1821">
        <v>666</v>
      </c>
      <c r="F1821">
        <v>2461</v>
      </c>
      <c r="G1821">
        <v>1231</v>
      </c>
      <c r="H1821">
        <v>44856</v>
      </c>
    </row>
    <row r="1822" spans="1:12" x14ac:dyDescent="0.35">
      <c r="A1822" t="s">
        <v>383</v>
      </c>
      <c r="B1822" t="s">
        <v>540</v>
      </c>
      <c r="C1822" t="s">
        <v>302</v>
      </c>
      <c r="D1822" t="s">
        <v>155</v>
      </c>
      <c r="E1822">
        <v>664</v>
      </c>
      <c r="F1822">
        <v>2364</v>
      </c>
      <c r="G1822">
        <v>946</v>
      </c>
      <c r="H1822">
        <v>44856</v>
      </c>
      <c r="L1822">
        <v>45063</v>
      </c>
    </row>
    <row r="1823" spans="1:12" x14ac:dyDescent="0.35">
      <c r="A1823" t="s">
        <v>357</v>
      </c>
      <c r="B1823" t="s">
        <v>540</v>
      </c>
      <c r="C1823" t="s">
        <v>302</v>
      </c>
      <c r="D1823" t="s">
        <v>155</v>
      </c>
      <c r="E1823">
        <v>5</v>
      </c>
      <c r="F1823">
        <v>17</v>
      </c>
      <c r="G1823">
        <v>9</v>
      </c>
      <c r="H1823">
        <v>44856</v>
      </c>
    </row>
    <row r="1824" spans="1:12" x14ac:dyDescent="0.35">
      <c r="A1824" t="s">
        <v>375</v>
      </c>
      <c r="B1824" t="s">
        <v>540</v>
      </c>
      <c r="C1824" t="s">
        <v>302</v>
      </c>
      <c r="D1824" t="s">
        <v>155</v>
      </c>
      <c r="E1824">
        <v>638</v>
      </c>
      <c r="F1824">
        <v>2177</v>
      </c>
      <c r="G1824">
        <v>1089</v>
      </c>
      <c r="H1824">
        <v>44856</v>
      </c>
      <c r="L1824">
        <v>45133</v>
      </c>
    </row>
    <row r="1825" spans="1:12" x14ac:dyDescent="0.35">
      <c r="A1825" t="s">
        <v>386</v>
      </c>
      <c r="B1825" t="s">
        <v>540</v>
      </c>
      <c r="C1825" t="s">
        <v>302</v>
      </c>
      <c r="D1825" t="s">
        <v>155</v>
      </c>
      <c r="E1825">
        <v>40</v>
      </c>
      <c r="F1825">
        <v>140</v>
      </c>
      <c r="G1825">
        <v>70</v>
      </c>
      <c r="H1825">
        <v>44856</v>
      </c>
      <c r="L1825">
        <v>45106</v>
      </c>
    </row>
    <row r="1826" spans="1:12" x14ac:dyDescent="0.35">
      <c r="A1826" t="s">
        <v>477</v>
      </c>
      <c r="B1826" t="s">
        <v>540</v>
      </c>
      <c r="C1826" t="s">
        <v>302</v>
      </c>
      <c r="D1826" t="s">
        <v>155</v>
      </c>
      <c r="E1826">
        <v>23</v>
      </c>
      <c r="F1826">
        <v>82</v>
      </c>
      <c r="G1826">
        <v>41</v>
      </c>
      <c r="H1826">
        <v>44856</v>
      </c>
    </row>
    <row r="1827" spans="1:12" x14ac:dyDescent="0.35">
      <c r="A1827" t="s">
        <v>438</v>
      </c>
      <c r="B1827" t="s">
        <v>540</v>
      </c>
      <c r="C1827" t="s">
        <v>302</v>
      </c>
      <c r="D1827" t="s">
        <v>155</v>
      </c>
      <c r="E1827">
        <v>3</v>
      </c>
      <c r="F1827">
        <v>10</v>
      </c>
      <c r="G1827">
        <v>5</v>
      </c>
      <c r="H1827">
        <v>44856</v>
      </c>
    </row>
    <row r="1828" spans="1:12" x14ac:dyDescent="0.35">
      <c r="A1828" t="s">
        <v>445</v>
      </c>
      <c r="B1828" t="s">
        <v>540</v>
      </c>
      <c r="C1828" t="s">
        <v>302</v>
      </c>
      <c r="D1828" t="s">
        <v>155</v>
      </c>
      <c r="E1828">
        <v>28</v>
      </c>
      <c r="F1828">
        <v>83</v>
      </c>
      <c r="G1828">
        <v>41</v>
      </c>
      <c r="H1828">
        <v>44856</v>
      </c>
    </row>
    <row r="1829" spans="1:12" x14ac:dyDescent="0.35">
      <c r="A1829" t="s">
        <v>478</v>
      </c>
      <c r="B1829" t="s">
        <v>540</v>
      </c>
      <c r="C1829" t="s">
        <v>302</v>
      </c>
      <c r="D1829" t="s">
        <v>155</v>
      </c>
      <c r="E1829">
        <v>584</v>
      </c>
      <c r="F1829">
        <v>1987</v>
      </c>
      <c r="G1829">
        <v>993</v>
      </c>
      <c r="H1829">
        <v>44856</v>
      </c>
      <c r="J1829">
        <v>44866</v>
      </c>
      <c r="K1829" t="s">
        <v>541</v>
      </c>
      <c r="L1829">
        <v>44986</v>
      </c>
    </row>
    <row r="1830" spans="1:12" x14ac:dyDescent="0.35">
      <c r="A1830" t="s">
        <v>459</v>
      </c>
      <c r="B1830" t="s">
        <v>540</v>
      </c>
      <c r="C1830" t="s">
        <v>302</v>
      </c>
      <c r="D1830" t="s">
        <v>155</v>
      </c>
      <c r="E1830">
        <v>16</v>
      </c>
      <c r="F1830">
        <v>76</v>
      </c>
      <c r="G1830">
        <v>38</v>
      </c>
      <c r="H1830">
        <v>44856</v>
      </c>
    </row>
    <row r="1831" spans="1:12" x14ac:dyDescent="0.35">
      <c r="A1831" t="s">
        <v>416</v>
      </c>
      <c r="B1831" t="s">
        <v>540</v>
      </c>
      <c r="C1831" t="s">
        <v>302</v>
      </c>
      <c r="D1831" t="s">
        <v>155</v>
      </c>
      <c r="E1831">
        <v>25</v>
      </c>
      <c r="F1831">
        <v>94</v>
      </c>
      <c r="G1831">
        <v>47</v>
      </c>
      <c r="H1831">
        <v>44856</v>
      </c>
    </row>
    <row r="1832" spans="1:12" x14ac:dyDescent="0.35">
      <c r="A1832" t="s">
        <v>417</v>
      </c>
      <c r="B1832" t="s">
        <v>540</v>
      </c>
      <c r="C1832" t="s">
        <v>302</v>
      </c>
      <c r="D1832" t="s">
        <v>155</v>
      </c>
      <c r="E1832">
        <v>147</v>
      </c>
      <c r="F1832">
        <v>502</v>
      </c>
      <c r="G1832">
        <v>251</v>
      </c>
      <c r="H1832">
        <v>44856</v>
      </c>
    </row>
    <row r="1833" spans="1:12" x14ac:dyDescent="0.35">
      <c r="A1833" t="s">
        <v>387</v>
      </c>
      <c r="B1833" t="s">
        <v>540</v>
      </c>
      <c r="C1833" t="s">
        <v>302</v>
      </c>
      <c r="D1833" t="s">
        <v>155</v>
      </c>
      <c r="E1833">
        <v>17</v>
      </c>
      <c r="F1833">
        <v>45</v>
      </c>
      <c r="G1833">
        <v>27</v>
      </c>
      <c r="H1833">
        <v>44856</v>
      </c>
      <c r="L1833">
        <v>44904</v>
      </c>
    </row>
    <row r="1834" spans="1:12" x14ac:dyDescent="0.35">
      <c r="A1834" t="s">
        <v>329</v>
      </c>
      <c r="B1834" t="s">
        <v>540</v>
      </c>
      <c r="C1834" t="s">
        <v>302</v>
      </c>
      <c r="D1834" t="s">
        <v>155</v>
      </c>
      <c r="E1834">
        <v>6</v>
      </c>
      <c r="F1834">
        <v>18</v>
      </c>
      <c r="G1834">
        <v>9</v>
      </c>
      <c r="H1834">
        <v>44856</v>
      </c>
    </row>
    <row r="1835" spans="1:12" x14ac:dyDescent="0.35">
      <c r="A1835" t="s">
        <v>210</v>
      </c>
      <c r="B1835" t="s">
        <v>540</v>
      </c>
      <c r="C1835" t="s">
        <v>302</v>
      </c>
      <c r="D1835" t="s">
        <v>155</v>
      </c>
      <c r="E1835">
        <v>1</v>
      </c>
      <c r="F1835">
        <v>6</v>
      </c>
      <c r="G1835">
        <v>2</v>
      </c>
      <c r="H1835">
        <v>44856</v>
      </c>
    </row>
    <row r="1836" spans="1:12" x14ac:dyDescent="0.35">
      <c r="A1836" t="s">
        <v>401</v>
      </c>
      <c r="B1836" t="s">
        <v>540</v>
      </c>
      <c r="C1836" t="s">
        <v>302</v>
      </c>
      <c r="D1836" t="s">
        <v>155</v>
      </c>
      <c r="E1836">
        <v>37</v>
      </c>
      <c r="F1836">
        <v>113</v>
      </c>
      <c r="G1836">
        <v>57</v>
      </c>
      <c r="H1836">
        <v>44856</v>
      </c>
    </row>
    <row r="1837" spans="1:12" x14ac:dyDescent="0.35">
      <c r="A1837" t="s">
        <v>458</v>
      </c>
      <c r="B1837" t="s">
        <v>540</v>
      </c>
      <c r="C1837" t="s">
        <v>302</v>
      </c>
      <c r="D1837" t="s">
        <v>155</v>
      </c>
      <c r="E1837">
        <v>3</v>
      </c>
      <c r="F1837">
        <v>19</v>
      </c>
      <c r="G1837">
        <v>10</v>
      </c>
      <c r="H1837">
        <v>44856</v>
      </c>
    </row>
    <row r="1838" spans="1:12" x14ac:dyDescent="0.35">
      <c r="A1838" t="s">
        <v>534</v>
      </c>
      <c r="B1838" t="s">
        <v>542</v>
      </c>
      <c r="C1838" t="s">
        <v>302</v>
      </c>
      <c r="D1838" t="s">
        <v>155</v>
      </c>
      <c r="E1838">
        <v>217</v>
      </c>
      <c r="F1838">
        <v>760.73177738100003</v>
      </c>
      <c r="G1838">
        <v>380.36588874999995</v>
      </c>
      <c r="H1838">
        <v>46018</v>
      </c>
      <c r="L1838">
        <v>46018</v>
      </c>
    </row>
    <row r="1839" spans="1:12" x14ac:dyDescent="0.35">
      <c r="A1839" t="s">
        <v>447</v>
      </c>
      <c r="B1839" t="s">
        <v>540</v>
      </c>
      <c r="C1839" t="s">
        <v>302</v>
      </c>
      <c r="D1839" t="s">
        <v>155</v>
      </c>
      <c r="E1839">
        <v>3</v>
      </c>
      <c r="F1839">
        <v>16</v>
      </c>
      <c r="G1839">
        <v>8</v>
      </c>
      <c r="H1839">
        <v>44856</v>
      </c>
    </row>
    <row r="1840" spans="1:12" x14ac:dyDescent="0.35">
      <c r="A1840" t="s">
        <v>418</v>
      </c>
      <c r="B1840" t="s">
        <v>540</v>
      </c>
      <c r="C1840" t="s">
        <v>302</v>
      </c>
      <c r="D1840" t="s">
        <v>155</v>
      </c>
      <c r="E1840">
        <v>4</v>
      </c>
      <c r="F1840">
        <v>14</v>
      </c>
      <c r="G1840">
        <v>7</v>
      </c>
      <c r="H1840">
        <v>44856</v>
      </c>
    </row>
    <row r="1841" spans="1:12" x14ac:dyDescent="0.35">
      <c r="A1841" t="s">
        <v>230</v>
      </c>
      <c r="B1841" t="s">
        <v>540</v>
      </c>
      <c r="C1841" t="s">
        <v>302</v>
      </c>
      <c r="D1841" t="s">
        <v>155</v>
      </c>
      <c r="E1841">
        <v>13</v>
      </c>
      <c r="F1841">
        <v>44</v>
      </c>
      <c r="G1841">
        <v>22</v>
      </c>
      <c r="H1841">
        <v>44856</v>
      </c>
    </row>
    <row r="1842" spans="1:12" x14ac:dyDescent="0.35">
      <c r="A1842" t="s">
        <v>425</v>
      </c>
      <c r="B1842" t="s">
        <v>540</v>
      </c>
      <c r="C1842" t="s">
        <v>302</v>
      </c>
      <c r="D1842" t="s">
        <v>155</v>
      </c>
      <c r="E1842">
        <v>3</v>
      </c>
      <c r="F1842">
        <v>8</v>
      </c>
      <c r="G1842">
        <v>4</v>
      </c>
      <c r="H1842">
        <v>44856</v>
      </c>
    </row>
    <row r="1843" spans="1:12" x14ac:dyDescent="0.35">
      <c r="A1843" t="s">
        <v>332</v>
      </c>
      <c r="B1843" t="s">
        <v>540</v>
      </c>
      <c r="C1843" t="s">
        <v>302</v>
      </c>
      <c r="D1843" t="s">
        <v>155</v>
      </c>
      <c r="E1843">
        <v>2</v>
      </c>
      <c r="F1843">
        <v>7</v>
      </c>
      <c r="G1843">
        <v>3</v>
      </c>
      <c r="H1843">
        <v>44856</v>
      </c>
    </row>
    <row r="1844" spans="1:12" x14ac:dyDescent="0.35">
      <c r="A1844" t="s">
        <v>314</v>
      </c>
      <c r="B1844" t="s">
        <v>540</v>
      </c>
      <c r="C1844" t="s">
        <v>302</v>
      </c>
      <c r="D1844" t="s">
        <v>155</v>
      </c>
      <c r="E1844">
        <v>23</v>
      </c>
      <c r="F1844">
        <v>71</v>
      </c>
      <c r="G1844">
        <v>21</v>
      </c>
      <c r="H1844">
        <v>44856</v>
      </c>
      <c r="J1844">
        <v>44866</v>
      </c>
      <c r="K1844" t="s">
        <v>543</v>
      </c>
      <c r="L1844">
        <v>45167</v>
      </c>
    </row>
    <row r="1845" spans="1:12" x14ac:dyDescent="0.35">
      <c r="A1845" t="s">
        <v>30</v>
      </c>
      <c r="B1845" t="s">
        <v>540</v>
      </c>
      <c r="C1845" t="s">
        <v>302</v>
      </c>
      <c r="D1845" t="s">
        <v>155</v>
      </c>
      <c r="E1845">
        <v>14</v>
      </c>
      <c r="F1845">
        <v>39</v>
      </c>
      <c r="G1845">
        <v>19</v>
      </c>
      <c r="H1845">
        <v>44856</v>
      </c>
    </row>
    <row r="1846" spans="1:12" x14ac:dyDescent="0.35">
      <c r="A1846" t="s">
        <v>420</v>
      </c>
      <c r="B1846" t="s">
        <v>540</v>
      </c>
      <c r="C1846" t="s">
        <v>302</v>
      </c>
      <c r="D1846" t="s">
        <v>155</v>
      </c>
      <c r="E1846">
        <v>1</v>
      </c>
      <c r="F1846">
        <v>3</v>
      </c>
      <c r="G1846">
        <v>2</v>
      </c>
      <c r="H1846">
        <v>44856</v>
      </c>
    </row>
    <row r="1847" spans="1:12" x14ac:dyDescent="0.35">
      <c r="A1847" t="s">
        <v>464</v>
      </c>
      <c r="B1847" t="s">
        <v>540</v>
      </c>
      <c r="C1847" t="s">
        <v>302</v>
      </c>
      <c r="D1847" t="s">
        <v>155</v>
      </c>
      <c r="E1847">
        <v>21</v>
      </c>
      <c r="F1847">
        <v>84</v>
      </c>
      <c r="G1847">
        <v>42</v>
      </c>
      <c r="H1847">
        <v>44856</v>
      </c>
    </row>
    <row r="1848" spans="1:12" x14ac:dyDescent="0.35">
      <c r="A1848" t="s">
        <v>388</v>
      </c>
      <c r="B1848" t="s">
        <v>540</v>
      </c>
      <c r="C1848" t="s">
        <v>302</v>
      </c>
      <c r="D1848" t="s">
        <v>155</v>
      </c>
      <c r="E1848">
        <v>978</v>
      </c>
      <c r="F1848">
        <v>3350</v>
      </c>
      <c r="G1848">
        <v>1675</v>
      </c>
      <c r="H1848">
        <v>44856</v>
      </c>
      <c r="L1848">
        <v>44890</v>
      </c>
    </row>
    <row r="1849" spans="1:12" x14ac:dyDescent="0.35">
      <c r="A1849" t="s">
        <v>525</v>
      </c>
      <c r="B1849" t="s">
        <v>540</v>
      </c>
      <c r="C1849" t="s">
        <v>302</v>
      </c>
      <c r="D1849" t="s">
        <v>155</v>
      </c>
      <c r="E1849">
        <v>217</v>
      </c>
      <c r="F1849">
        <v>890</v>
      </c>
      <c r="G1849">
        <v>534</v>
      </c>
      <c r="H1849">
        <v>44856</v>
      </c>
    </row>
    <row r="1850" spans="1:12" x14ac:dyDescent="0.35">
      <c r="A1850" t="s">
        <v>544</v>
      </c>
      <c r="B1850" t="s">
        <v>540</v>
      </c>
      <c r="C1850" t="s">
        <v>302</v>
      </c>
      <c r="D1850" t="s">
        <v>155</v>
      </c>
      <c r="E1850">
        <v>32</v>
      </c>
      <c r="F1850">
        <v>206</v>
      </c>
      <c r="G1850">
        <v>103</v>
      </c>
      <c r="H1850">
        <v>44856</v>
      </c>
    </row>
    <row r="1851" spans="1:12" x14ac:dyDescent="0.35">
      <c r="A1851" t="s">
        <v>359</v>
      </c>
      <c r="B1851" t="s">
        <v>540</v>
      </c>
      <c r="C1851" t="s">
        <v>302</v>
      </c>
      <c r="D1851" t="s">
        <v>155</v>
      </c>
      <c r="E1851">
        <v>11</v>
      </c>
      <c r="F1851">
        <v>38</v>
      </c>
      <c r="G1851">
        <v>19</v>
      </c>
      <c r="H1851">
        <v>44856</v>
      </c>
    </row>
    <row r="1852" spans="1:12" x14ac:dyDescent="0.35">
      <c r="A1852" t="s">
        <v>436</v>
      </c>
      <c r="B1852" t="s">
        <v>540</v>
      </c>
      <c r="C1852" t="s">
        <v>302</v>
      </c>
      <c r="D1852" t="s">
        <v>155</v>
      </c>
      <c r="E1852">
        <v>45</v>
      </c>
      <c r="F1852">
        <v>157</v>
      </c>
      <c r="G1852">
        <v>78</v>
      </c>
      <c r="H1852">
        <v>44856</v>
      </c>
      <c r="L1852">
        <v>45261</v>
      </c>
    </row>
    <row r="1853" spans="1:12" x14ac:dyDescent="0.35">
      <c r="A1853" t="s">
        <v>190</v>
      </c>
      <c r="B1853" t="s">
        <v>545</v>
      </c>
      <c r="C1853" t="s">
        <v>302</v>
      </c>
      <c r="D1853" t="s">
        <v>155</v>
      </c>
      <c r="E1853">
        <v>214</v>
      </c>
      <c r="F1853">
        <v>792</v>
      </c>
      <c r="G1853">
        <v>396</v>
      </c>
      <c r="H1853">
        <v>44856</v>
      </c>
      <c r="L1853">
        <v>44949</v>
      </c>
    </row>
    <row r="1854" spans="1:12" x14ac:dyDescent="0.35">
      <c r="A1854" t="s">
        <v>450</v>
      </c>
      <c r="B1854" t="s">
        <v>540</v>
      </c>
      <c r="C1854" t="s">
        <v>302</v>
      </c>
      <c r="D1854" t="s">
        <v>155</v>
      </c>
      <c r="E1854">
        <v>76</v>
      </c>
      <c r="F1854">
        <v>348</v>
      </c>
      <c r="G1854">
        <v>174</v>
      </c>
      <c r="H1854">
        <v>44856</v>
      </c>
    </row>
    <row r="1855" spans="1:12" x14ac:dyDescent="0.35">
      <c r="A1855" t="s">
        <v>162</v>
      </c>
      <c r="B1855" t="s">
        <v>540</v>
      </c>
      <c r="C1855" t="s">
        <v>302</v>
      </c>
      <c r="D1855" t="s">
        <v>155</v>
      </c>
      <c r="E1855">
        <v>113</v>
      </c>
      <c r="F1855">
        <v>616</v>
      </c>
      <c r="G1855">
        <v>370</v>
      </c>
      <c r="H1855">
        <v>44856</v>
      </c>
      <c r="L1855">
        <v>45044</v>
      </c>
    </row>
    <row r="1856" spans="1:12" x14ac:dyDescent="0.35">
      <c r="A1856" t="s">
        <v>546</v>
      </c>
      <c r="B1856" t="s">
        <v>540</v>
      </c>
      <c r="C1856" t="s">
        <v>302</v>
      </c>
      <c r="D1856" t="s">
        <v>155</v>
      </c>
      <c r="E1856">
        <v>53</v>
      </c>
      <c r="F1856">
        <v>160</v>
      </c>
      <c r="G1856">
        <v>104</v>
      </c>
      <c r="H1856">
        <v>44856</v>
      </c>
    </row>
    <row r="1857" spans="1:12" x14ac:dyDescent="0.35">
      <c r="A1857" t="s">
        <v>452</v>
      </c>
      <c r="B1857" t="s">
        <v>540</v>
      </c>
      <c r="C1857" t="s">
        <v>302</v>
      </c>
      <c r="D1857" t="s">
        <v>155</v>
      </c>
      <c r="E1857">
        <v>234</v>
      </c>
      <c r="F1857">
        <v>897</v>
      </c>
      <c r="G1857">
        <v>448</v>
      </c>
      <c r="H1857">
        <v>44856</v>
      </c>
    </row>
    <row r="1858" spans="1:12" x14ac:dyDescent="0.35">
      <c r="A1858" t="s">
        <v>422</v>
      </c>
      <c r="B1858" t="s">
        <v>540</v>
      </c>
      <c r="C1858" t="s">
        <v>302</v>
      </c>
      <c r="D1858" t="s">
        <v>155</v>
      </c>
      <c r="E1858">
        <v>1</v>
      </c>
      <c r="F1858">
        <v>3</v>
      </c>
      <c r="G1858">
        <v>2</v>
      </c>
      <c r="H1858">
        <v>44856</v>
      </c>
    </row>
    <row r="1859" spans="1:12" x14ac:dyDescent="0.35">
      <c r="A1859" t="s">
        <v>457</v>
      </c>
      <c r="B1859" t="s">
        <v>542</v>
      </c>
      <c r="C1859" t="s">
        <v>302</v>
      </c>
      <c r="D1859" t="s">
        <v>155</v>
      </c>
      <c r="E1859">
        <v>176</v>
      </c>
      <c r="F1859">
        <v>643</v>
      </c>
      <c r="G1859">
        <v>322</v>
      </c>
      <c r="H1859">
        <v>44856</v>
      </c>
      <c r="L1859">
        <v>45257</v>
      </c>
    </row>
    <row r="1860" spans="1:12" x14ac:dyDescent="0.35">
      <c r="A1860" t="s">
        <v>528</v>
      </c>
      <c r="B1860" t="s">
        <v>540</v>
      </c>
      <c r="C1860" t="s">
        <v>302</v>
      </c>
      <c r="D1860" t="s">
        <v>155</v>
      </c>
      <c r="E1860">
        <v>18</v>
      </c>
      <c r="F1860">
        <v>80</v>
      </c>
      <c r="G1860">
        <v>40</v>
      </c>
      <c r="H1860">
        <v>44856</v>
      </c>
      <c r="L1860">
        <v>44998</v>
      </c>
    </row>
    <row r="1861" spans="1:12" x14ac:dyDescent="0.35">
      <c r="A1861" t="s">
        <v>481</v>
      </c>
      <c r="B1861" t="s">
        <v>540</v>
      </c>
      <c r="C1861" t="s">
        <v>302</v>
      </c>
      <c r="D1861" t="s">
        <v>155</v>
      </c>
      <c r="E1861">
        <v>3</v>
      </c>
      <c r="F1861">
        <v>10</v>
      </c>
      <c r="G1861">
        <v>5</v>
      </c>
      <c r="H1861">
        <v>44856</v>
      </c>
    </row>
    <row r="1862" spans="1:12" x14ac:dyDescent="0.35">
      <c r="A1862" t="s">
        <v>390</v>
      </c>
      <c r="B1862" t="s">
        <v>540</v>
      </c>
      <c r="C1862" t="s">
        <v>302</v>
      </c>
      <c r="D1862" t="s">
        <v>155</v>
      </c>
      <c r="E1862">
        <v>119</v>
      </c>
      <c r="F1862">
        <v>406</v>
      </c>
      <c r="G1862">
        <v>203</v>
      </c>
      <c r="H1862">
        <v>44856</v>
      </c>
      <c r="J1862">
        <v>44866</v>
      </c>
      <c r="K1862" t="s">
        <v>543</v>
      </c>
      <c r="L1862">
        <v>45055</v>
      </c>
    </row>
    <row r="1863" spans="1:12" x14ac:dyDescent="0.35">
      <c r="A1863" t="s">
        <v>482</v>
      </c>
      <c r="B1863" t="s">
        <v>540</v>
      </c>
      <c r="C1863" t="s">
        <v>302</v>
      </c>
      <c r="D1863" t="s">
        <v>155</v>
      </c>
      <c r="E1863">
        <v>22</v>
      </c>
      <c r="F1863">
        <v>75</v>
      </c>
      <c r="G1863">
        <v>38</v>
      </c>
      <c r="H1863">
        <v>44856</v>
      </c>
    </row>
    <row r="1864" spans="1:12" x14ac:dyDescent="0.35">
      <c r="A1864" t="s">
        <v>511</v>
      </c>
      <c r="B1864" t="s">
        <v>540</v>
      </c>
      <c r="C1864" t="s">
        <v>302</v>
      </c>
      <c r="D1864" t="s">
        <v>155</v>
      </c>
      <c r="E1864">
        <v>10</v>
      </c>
      <c r="F1864">
        <v>34</v>
      </c>
      <c r="G1864">
        <v>17</v>
      </c>
      <c r="H1864">
        <v>44856</v>
      </c>
    </row>
    <row r="1865" spans="1:12" x14ac:dyDescent="0.35">
      <c r="A1865" t="s">
        <v>456</v>
      </c>
      <c r="B1865" t="s">
        <v>540</v>
      </c>
      <c r="C1865" t="s">
        <v>302</v>
      </c>
      <c r="D1865" t="s">
        <v>155</v>
      </c>
      <c r="E1865">
        <v>2</v>
      </c>
      <c r="F1865">
        <v>10</v>
      </c>
      <c r="G1865">
        <v>5</v>
      </c>
      <c r="H1865">
        <v>44856</v>
      </c>
    </row>
    <row r="1866" spans="1:12" x14ac:dyDescent="0.35">
      <c r="A1866" t="s">
        <v>516</v>
      </c>
      <c r="B1866" t="s">
        <v>540</v>
      </c>
      <c r="C1866" t="s">
        <v>302</v>
      </c>
      <c r="D1866" t="s">
        <v>155</v>
      </c>
      <c r="E1866">
        <v>5</v>
      </c>
      <c r="F1866">
        <v>32</v>
      </c>
      <c r="G1866">
        <v>16</v>
      </c>
      <c r="H1866">
        <v>44856</v>
      </c>
    </row>
    <row r="1867" spans="1:12" x14ac:dyDescent="0.35">
      <c r="A1867" t="s">
        <v>529</v>
      </c>
      <c r="B1867" t="s">
        <v>540</v>
      </c>
      <c r="C1867" t="s">
        <v>302</v>
      </c>
      <c r="D1867" t="s">
        <v>155</v>
      </c>
      <c r="E1867">
        <v>179</v>
      </c>
      <c r="F1867">
        <v>620</v>
      </c>
      <c r="G1867">
        <v>310</v>
      </c>
      <c r="H1867">
        <v>44856</v>
      </c>
      <c r="L1867">
        <v>45679</v>
      </c>
    </row>
    <row r="1868" spans="1:12" x14ac:dyDescent="0.35">
      <c r="A1868" t="s">
        <v>268</v>
      </c>
      <c r="B1868" t="s">
        <v>540</v>
      </c>
      <c r="C1868" t="s">
        <v>302</v>
      </c>
      <c r="D1868" t="s">
        <v>155</v>
      </c>
      <c r="E1868">
        <v>1</v>
      </c>
      <c r="F1868">
        <v>3</v>
      </c>
      <c r="G1868">
        <v>1</v>
      </c>
      <c r="H1868">
        <v>44856</v>
      </c>
    </row>
    <row r="1869" spans="1:12" x14ac:dyDescent="0.35">
      <c r="A1869" t="s">
        <v>530</v>
      </c>
      <c r="B1869" t="s">
        <v>540</v>
      </c>
      <c r="C1869" t="s">
        <v>302</v>
      </c>
      <c r="D1869" t="s">
        <v>155</v>
      </c>
      <c r="E1869">
        <v>44</v>
      </c>
      <c r="F1869">
        <v>274</v>
      </c>
      <c r="G1869">
        <v>137</v>
      </c>
      <c r="H1869">
        <v>44856</v>
      </c>
    </row>
    <row r="1870" spans="1:12" x14ac:dyDescent="0.35">
      <c r="A1870" t="s">
        <v>440</v>
      </c>
      <c r="B1870" t="s">
        <v>540</v>
      </c>
      <c r="C1870" t="s">
        <v>302</v>
      </c>
      <c r="D1870" t="s">
        <v>155</v>
      </c>
      <c r="E1870">
        <v>6</v>
      </c>
      <c r="F1870">
        <v>30</v>
      </c>
      <c r="G1870">
        <v>15</v>
      </c>
      <c r="H1870">
        <v>44856</v>
      </c>
    </row>
    <row r="1871" spans="1:12" x14ac:dyDescent="0.35">
      <c r="A1871" t="s">
        <v>400</v>
      </c>
      <c r="B1871" t="s">
        <v>540</v>
      </c>
      <c r="C1871" t="s">
        <v>302</v>
      </c>
      <c r="D1871" t="s">
        <v>155</v>
      </c>
      <c r="E1871">
        <v>211</v>
      </c>
      <c r="F1871">
        <v>701.36379373800003</v>
      </c>
      <c r="G1871">
        <v>455.88646592100002</v>
      </c>
      <c r="H1871">
        <v>44856</v>
      </c>
      <c r="L1871">
        <v>44939</v>
      </c>
    </row>
    <row r="1872" spans="1:12" x14ac:dyDescent="0.35">
      <c r="A1872" t="s">
        <v>475</v>
      </c>
      <c r="B1872" t="s">
        <v>547</v>
      </c>
      <c r="C1872" t="s">
        <v>302</v>
      </c>
      <c r="D1872" t="s">
        <v>155</v>
      </c>
      <c r="E1872">
        <v>10</v>
      </c>
      <c r="F1872">
        <v>23</v>
      </c>
      <c r="G1872">
        <v>12</v>
      </c>
      <c r="H1872">
        <v>44904</v>
      </c>
    </row>
    <row r="1873" spans="1:12" x14ac:dyDescent="0.35">
      <c r="A1873" t="s">
        <v>435</v>
      </c>
      <c r="B1873" t="s">
        <v>547</v>
      </c>
      <c r="C1873" t="s">
        <v>302</v>
      </c>
      <c r="D1873" t="s">
        <v>155</v>
      </c>
      <c r="E1873">
        <v>1097</v>
      </c>
      <c r="F1873">
        <v>5573</v>
      </c>
      <c r="G1873">
        <v>2787</v>
      </c>
      <c r="H1873">
        <v>44904</v>
      </c>
    </row>
    <row r="1874" spans="1:12" x14ac:dyDescent="0.35">
      <c r="A1874" t="s">
        <v>381</v>
      </c>
      <c r="B1874" t="s">
        <v>547</v>
      </c>
      <c r="C1874" t="s">
        <v>302</v>
      </c>
      <c r="D1874" t="s">
        <v>155</v>
      </c>
      <c r="E1874">
        <v>1</v>
      </c>
      <c r="F1874">
        <v>5.1442317150000001</v>
      </c>
      <c r="G1874">
        <v>2.0576926860000002</v>
      </c>
      <c r="H1874">
        <v>44904</v>
      </c>
    </row>
    <row r="1875" spans="1:12" x14ac:dyDescent="0.35">
      <c r="A1875" t="s">
        <v>428</v>
      </c>
      <c r="B1875" t="s">
        <v>486</v>
      </c>
      <c r="C1875" t="s">
        <v>246</v>
      </c>
      <c r="D1875" t="s">
        <v>155</v>
      </c>
      <c r="E1875">
        <v>6</v>
      </c>
      <c r="F1875">
        <v>0</v>
      </c>
      <c r="G1875">
        <v>0.35964000000000002</v>
      </c>
      <c r="H1875">
        <v>44603</v>
      </c>
    </row>
    <row r="1876" spans="1:12" x14ac:dyDescent="0.35">
      <c r="A1876" t="s">
        <v>463</v>
      </c>
      <c r="B1876" t="s">
        <v>547</v>
      </c>
      <c r="C1876" t="s">
        <v>302</v>
      </c>
      <c r="D1876" t="s">
        <v>155</v>
      </c>
      <c r="E1876">
        <v>747</v>
      </c>
      <c r="F1876">
        <v>2772</v>
      </c>
      <c r="G1876">
        <v>1386</v>
      </c>
      <c r="H1876">
        <v>44904</v>
      </c>
    </row>
    <row r="1877" spans="1:12" x14ac:dyDescent="0.35">
      <c r="A1877" t="s">
        <v>383</v>
      </c>
      <c r="B1877" t="s">
        <v>547</v>
      </c>
      <c r="C1877" t="s">
        <v>302</v>
      </c>
      <c r="D1877" t="s">
        <v>155</v>
      </c>
      <c r="E1877">
        <v>426</v>
      </c>
      <c r="F1877">
        <v>1709</v>
      </c>
      <c r="G1877">
        <v>683</v>
      </c>
      <c r="H1877">
        <v>44904</v>
      </c>
      <c r="L1877">
        <v>45063</v>
      </c>
    </row>
    <row r="1878" spans="1:12" x14ac:dyDescent="0.35">
      <c r="A1878" t="s">
        <v>357</v>
      </c>
      <c r="B1878" t="s">
        <v>547</v>
      </c>
      <c r="C1878" t="s">
        <v>302</v>
      </c>
      <c r="D1878" t="s">
        <v>155</v>
      </c>
      <c r="E1878">
        <v>3</v>
      </c>
      <c r="F1878">
        <v>11</v>
      </c>
      <c r="G1878">
        <v>5</v>
      </c>
      <c r="H1878">
        <v>44904</v>
      </c>
    </row>
    <row r="1879" spans="1:12" x14ac:dyDescent="0.35">
      <c r="A1879" t="s">
        <v>375</v>
      </c>
      <c r="B1879" t="s">
        <v>547</v>
      </c>
      <c r="C1879" t="s">
        <v>302</v>
      </c>
      <c r="D1879" t="s">
        <v>155</v>
      </c>
      <c r="E1879">
        <v>434</v>
      </c>
      <c r="F1879">
        <v>2162</v>
      </c>
      <c r="G1879">
        <v>1081</v>
      </c>
      <c r="H1879">
        <v>44904</v>
      </c>
      <c r="L1879">
        <v>45133</v>
      </c>
    </row>
    <row r="1880" spans="1:12" x14ac:dyDescent="0.35">
      <c r="A1880" t="s">
        <v>386</v>
      </c>
      <c r="B1880" t="s">
        <v>547</v>
      </c>
      <c r="C1880" t="s">
        <v>302</v>
      </c>
      <c r="D1880" t="s">
        <v>155</v>
      </c>
      <c r="E1880">
        <v>29</v>
      </c>
      <c r="F1880">
        <v>118</v>
      </c>
      <c r="G1880">
        <v>59</v>
      </c>
      <c r="H1880">
        <v>44904</v>
      </c>
      <c r="L1880">
        <v>45106</v>
      </c>
    </row>
    <row r="1881" spans="1:12" x14ac:dyDescent="0.35">
      <c r="A1881" t="s">
        <v>477</v>
      </c>
      <c r="B1881" t="s">
        <v>547</v>
      </c>
      <c r="C1881" t="s">
        <v>302</v>
      </c>
      <c r="D1881" t="s">
        <v>155</v>
      </c>
      <c r="E1881">
        <v>8</v>
      </c>
      <c r="F1881">
        <v>32</v>
      </c>
      <c r="G1881">
        <v>16</v>
      </c>
      <c r="H1881">
        <v>44904</v>
      </c>
    </row>
    <row r="1882" spans="1:12" x14ac:dyDescent="0.35">
      <c r="A1882" t="s">
        <v>438</v>
      </c>
      <c r="B1882" t="s">
        <v>547</v>
      </c>
      <c r="C1882" t="s">
        <v>302</v>
      </c>
      <c r="D1882" t="s">
        <v>155</v>
      </c>
      <c r="E1882">
        <v>2</v>
      </c>
      <c r="F1882">
        <v>10</v>
      </c>
      <c r="G1882">
        <v>5</v>
      </c>
      <c r="H1882">
        <v>44904</v>
      </c>
    </row>
    <row r="1883" spans="1:12" x14ac:dyDescent="0.35">
      <c r="A1883" t="s">
        <v>326</v>
      </c>
      <c r="B1883" t="s">
        <v>547</v>
      </c>
      <c r="C1883" t="s">
        <v>302</v>
      </c>
      <c r="D1883" t="s">
        <v>155</v>
      </c>
      <c r="E1883">
        <v>1</v>
      </c>
      <c r="F1883">
        <v>1</v>
      </c>
      <c r="G1883">
        <v>0</v>
      </c>
      <c r="H1883">
        <v>44904</v>
      </c>
    </row>
    <row r="1884" spans="1:12" x14ac:dyDescent="0.35">
      <c r="A1884" t="s">
        <v>445</v>
      </c>
      <c r="B1884" t="s">
        <v>547</v>
      </c>
      <c r="C1884" t="s">
        <v>302</v>
      </c>
      <c r="D1884" t="s">
        <v>155</v>
      </c>
      <c r="E1884">
        <v>26</v>
      </c>
      <c r="F1884">
        <v>84</v>
      </c>
      <c r="G1884">
        <v>42</v>
      </c>
      <c r="H1884">
        <v>44904</v>
      </c>
    </row>
    <row r="1885" spans="1:12" x14ac:dyDescent="0.35">
      <c r="A1885" t="s">
        <v>478</v>
      </c>
      <c r="B1885">
        <v>44805</v>
      </c>
      <c r="C1885" t="s">
        <v>302</v>
      </c>
      <c r="D1885" t="s">
        <v>155</v>
      </c>
      <c r="E1885">
        <v>467</v>
      </c>
      <c r="F1885">
        <v>2314.4292902100001</v>
      </c>
      <c r="G1885">
        <v>1157.2146451789999</v>
      </c>
      <c r="H1885">
        <v>44904</v>
      </c>
      <c r="J1885">
        <v>44914</v>
      </c>
      <c r="K1885" t="s">
        <v>548</v>
      </c>
      <c r="L1885">
        <v>44986</v>
      </c>
    </row>
    <row r="1886" spans="1:12" x14ac:dyDescent="0.35">
      <c r="A1886" t="s">
        <v>459</v>
      </c>
      <c r="B1886" t="s">
        <v>547</v>
      </c>
      <c r="C1886" t="s">
        <v>302</v>
      </c>
      <c r="D1886" t="s">
        <v>155</v>
      </c>
      <c r="E1886">
        <v>19</v>
      </c>
      <c r="F1886">
        <v>64</v>
      </c>
      <c r="G1886">
        <v>32</v>
      </c>
      <c r="H1886">
        <v>44904</v>
      </c>
    </row>
    <row r="1887" spans="1:12" x14ac:dyDescent="0.35">
      <c r="A1887" t="s">
        <v>362</v>
      </c>
      <c r="B1887" t="s">
        <v>547</v>
      </c>
      <c r="C1887" t="s">
        <v>302</v>
      </c>
      <c r="D1887" t="s">
        <v>155</v>
      </c>
      <c r="E1887">
        <v>2</v>
      </c>
      <c r="F1887">
        <v>1</v>
      </c>
      <c r="G1887">
        <v>1</v>
      </c>
      <c r="H1887">
        <v>44904</v>
      </c>
    </row>
    <row r="1888" spans="1:12" x14ac:dyDescent="0.35">
      <c r="A1888" t="s">
        <v>446</v>
      </c>
      <c r="B1888" t="s">
        <v>547</v>
      </c>
      <c r="C1888" t="s">
        <v>302</v>
      </c>
      <c r="D1888" t="s">
        <v>155</v>
      </c>
      <c r="E1888">
        <v>2</v>
      </c>
      <c r="F1888">
        <v>10</v>
      </c>
      <c r="G1888">
        <v>5</v>
      </c>
      <c r="H1888">
        <v>44904</v>
      </c>
    </row>
    <row r="1889" spans="1:12" x14ac:dyDescent="0.35">
      <c r="A1889" t="s">
        <v>416</v>
      </c>
      <c r="B1889" t="s">
        <v>547</v>
      </c>
      <c r="C1889" t="s">
        <v>302</v>
      </c>
      <c r="D1889" t="s">
        <v>155</v>
      </c>
      <c r="E1889">
        <v>9</v>
      </c>
      <c r="F1889">
        <v>24</v>
      </c>
      <c r="G1889">
        <v>12</v>
      </c>
      <c r="H1889">
        <v>44904</v>
      </c>
    </row>
    <row r="1890" spans="1:12" x14ac:dyDescent="0.35">
      <c r="A1890" t="s">
        <v>417</v>
      </c>
      <c r="B1890" t="s">
        <v>547</v>
      </c>
      <c r="C1890" t="s">
        <v>302</v>
      </c>
      <c r="D1890" t="s">
        <v>155</v>
      </c>
      <c r="E1890">
        <v>119</v>
      </c>
      <c r="F1890">
        <v>587</v>
      </c>
      <c r="G1890">
        <v>294</v>
      </c>
      <c r="H1890">
        <v>44904</v>
      </c>
    </row>
    <row r="1891" spans="1:12" x14ac:dyDescent="0.35">
      <c r="A1891" t="s">
        <v>387</v>
      </c>
      <c r="B1891" t="s">
        <v>547</v>
      </c>
      <c r="C1891" t="s">
        <v>302</v>
      </c>
      <c r="D1891" t="s">
        <v>155</v>
      </c>
      <c r="E1891">
        <v>18</v>
      </c>
      <c r="F1891">
        <v>79</v>
      </c>
      <c r="G1891">
        <v>48</v>
      </c>
      <c r="H1891">
        <v>44904</v>
      </c>
      <c r="L1891">
        <v>45055</v>
      </c>
    </row>
    <row r="1892" spans="1:12" x14ac:dyDescent="0.35">
      <c r="A1892" t="s">
        <v>210</v>
      </c>
      <c r="B1892" t="s">
        <v>547</v>
      </c>
      <c r="C1892" t="s">
        <v>302</v>
      </c>
      <c r="D1892" t="s">
        <v>155</v>
      </c>
      <c r="E1892">
        <v>1</v>
      </c>
      <c r="F1892">
        <v>1</v>
      </c>
      <c r="G1892">
        <v>0</v>
      </c>
      <c r="H1892">
        <v>44904</v>
      </c>
    </row>
    <row r="1893" spans="1:12" x14ac:dyDescent="0.35">
      <c r="A1893" t="s">
        <v>401</v>
      </c>
      <c r="B1893" t="s">
        <v>547</v>
      </c>
      <c r="C1893" t="s">
        <v>302</v>
      </c>
      <c r="D1893" t="s">
        <v>155</v>
      </c>
      <c r="E1893">
        <v>39</v>
      </c>
      <c r="F1893">
        <v>158</v>
      </c>
      <c r="G1893">
        <v>79</v>
      </c>
      <c r="H1893">
        <v>44904</v>
      </c>
    </row>
    <row r="1894" spans="1:12" x14ac:dyDescent="0.35">
      <c r="A1894" t="s">
        <v>190</v>
      </c>
      <c r="B1894" t="s">
        <v>549</v>
      </c>
      <c r="C1894" t="s">
        <v>302</v>
      </c>
      <c r="D1894" t="s">
        <v>155</v>
      </c>
      <c r="E1894">
        <v>193</v>
      </c>
      <c r="F1894">
        <v>700</v>
      </c>
      <c r="G1894">
        <v>350</v>
      </c>
      <c r="H1894">
        <v>44904</v>
      </c>
      <c r="L1894">
        <v>44949</v>
      </c>
    </row>
    <row r="1895" spans="1:12" x14ac:dyDescent="0.35">
      <c r="A1895" t="s">
        <v>388</v>
      </c>
      <c r="B1895" t="s">
        <v>550</v>
      </c>
      <c r="C1895" t="s">
        <v>302</v>
      </c>
      <c r="D1895" t="s">
        <v>155</v>
      </c>
      <c r="E1895">
        <v>2528</v>
      </c>
      <c r="F1895">
        <v>10516.113273477</v>
      </c>
      <c r="G1895">
        <v>5258.0566369710004</v>
      </c>
      <c r="H1895">
        <v>45042</v>
      </c>
      <c r="L1895">
        <v>45042</v>
      </c>
    </row>
    <row r="1896" spans="1:12" x14ac:dyDescent="0.35">
      <c r="A1896" t="s">
        <v>551</v>
      </c>
      <c r="B1896" t="s">
        <v>552</v>
      </c>
      <c r="C1896" t="s">
        <v>246</v>
      </c>
      <c r="D1896" t="s">
        <v>155</v>
      </c>
      <c r="E1896">
        <v>1153</v>
      </c>
      <c r="G1896">
        <v>52</v>
      </c>
      <c r="H1896">
        <v>44902</v>
      </c>
    </row>
    <row r="1897" spans="1:12" x14ac:dyDescent="0.35">
      <c r="A1897" t="s">
        <v>551</v>
      </c>
      <c r="B1897" t="s">
        <v>552</v>
      </c>
      <c r="C1897" t="s">
        <v>302</v>
      </c>
      <c r="D1897" t="s">
        <v>155</v>
      </c>
      <c r="E1897">
        <v>23</v>
      </c>
      <c r="F1897">
        <v>71.902165089000007</v>
      </c>
      <c r="G1897">
        <v>35.951082544500004</v>
      </c>
      <c r="H1897">
        <v>44902</v>
      </c>
    </row>
    <row r="1898" spans="1:12" x14ac:dyDescent="0.35">
      <c r="A1898" t="s">
        <v>400</v>
      </c>
      <c r="B1898" t="s">
        <v>547</v>
      </c>
      <c r="C1898" t="s">
        <v>302</v>
      </c>
      <c r="D1898" t="s">
        <v>155</v>
      </c>
      <c r="E1898">
        <v>221</v>
      </c>
      <c r="F1898">
        <v>1011.894169554</v>
      </c>
      <c r="G1898">
        <v>657.73121027499997</v>
      </c>
      <c r="H1898">
        <v>44939</v>
      </c>
      <c r="L1898">
        <v>44939</v>
      </c>
    </row>
    <row r="1899" spans="1:12" x14ac:dyDescent="0.35">
      <c r="A1899" t="s">
        <v>400</v>
      </c>
      <c r="B1899" t="s">
        <v>553</v>
      </c>
      <c r="C1899" t="s">
        <v>302</v>
      </c>
      <c r="D1899" t="s">
        <v>155</v>
      </c>
      <c r="E1899">
        <v>139</v>
      </c>
      <c r="F1899">
        <v>778.22253912799999</v>
      </c>
      <c r="G1899">
        <v>505.844650425</v>
      </c>
      <c r="H1899">
        <v>44939</v>
      </c>
      <c r="L1899">
        <v>44939</v>
      </c>
    </row>
    <row r="1900" spans="1:12" x14ac:dyDescent="0.35">
      <c r="A1900" t="s">
        <v>283</v>
      </c>
      <c r="B1900" t="s">
        <v>540</v>
      </c>
      <c r="C1900" t="s">
        <v>302</v>
      </c>
      <c r="D1900" t="s">
        <v>155</v>
      </c>
      <c r="E1900">
        <v>154</v>
      </c>
      <c r="F1900">
        <v>422</v>
      </c>
      <c r="G1900">
        <v>211</v>
      </c>
      <c r="H1900">
        <v>44942</v>
      </c>
      <c r="L1900">
        <v>44942</v>
      </c>
    </row>
    <row r="1901" spans="1:12" x14ac:dyDescent="0.35">
      <c r="A1901" t="s">
        <v>306</v>
      </c>
      <c r="B1901" t="s">
        <v>540</v>
      </c>
      <c r="C1901" t="s">
        <v>302</v>
      </c>
      <c r="D1901" t="s">
        <v>155</v>
      </c>
      <c r="E1901">
        <v>820</v>
      </c>
      <c r="F1901">
        <v>2803.9972382808965</v>
      </c>
      <c r="G1901">
        <v>1401.9986191404482</v>
      </c>
      <c r="H1901">
        <v>44918</v>
      </c>
      <c r="L1901">
        <v>44942</v>
      </c>
    </row>
    <row r="1902" spans="1:12" x14ac:dyDescent="0.35">
      <c r="A1902" t="s">
        <v>283</v>
      </c>
      <c r="B1902" t="s">
        <v>547</v>
      </c>
      <c r="C1902" t="s">
        <v>302</v>
      </c>
      <c r="D1902" t="s">
        <v>155</v>
      </c>
      <c r="E1902">
        <v>172</v>
      </c>
      <c r="F1902">
        <v>519</v>
      </c>
      <c r="G1902">
        <v>259</v>
      </c>
      <c r="H1902">
        <v>44942</v>
      </c>
      <c r="L1902">
        <v>44942</v>
      </c>
    </row>
    <row r="1903" spans="1:12" x14ac:dyDescent="0.35">
      <c r="A1903" t="s">
        <v>306</v>
      </c>
      <c r="B1903" t="s">
        <v>547</v>
      </c>
      <c r="C1903" t="s">
        <v>302</v>
      </c>
      <c r="D1903" t="s">
        <v>155</v>
      </c>
      <c r="E1903">
        <v>349</v>
      </c>
      <c r="F1903">
        <v>1757.2725915848064</v>
      </c>
      <c r="G1903">
        <v>878.63629579240319</v>
      </c>
      <c r="H1903">
        <v>44918</v>
      </c>
      <c r="L1903">
        <v>44942</v>
      </c>
    </row>
    <row r="1904" spans="1:12" x14ac:dyDescent="0.35">
      <c r="A1904" t="s">
        <v>283</v>
      </c>
      <c r="B1904" t="s">
        <v>553</v>
      </c>
      <c r="C1904" t="s">
        <v>302</v>
      </c>
      <c r="D1904" t="s">
        <v>155</v>
      </c>
      <c r="E1904">
        <v>178</v>
      </c>
      <c r="F1904">
        <v>409.082022188</v>
      </c>
      <c r="G1904">
        <v>204.54101107</v>
      </c>
      <c r="H1904">
        <v>44942</v>
      </c>
      <c r="L1904">
        <v>44942</v>
      </c>
    </row>
    <row r="1905" spans="1:12" x14ac:dyDescent="0.35">
      <c r="A1905" t="s">
        <v>306</v>
      </c>
      <c r="B1905" t="s">
        <v>553</v>
      </c>
      <c r="C1905" t="s">
        <v>302</v>
      </c>
      <c r="D1905" t="s">
        <v>155</v>
      </c>
      <c r="E1905">
        <v>406</v>
      </c>
      <c r="F1905">
        <v>2935.0262112901228</v>
      </c>
      <c r="G1905">
        <v>1467.5131056450614</v>
      </c>
      <c r="H1905">
        <v>44918</v>
      </c>
      <c r="L1905">
        <v>44942</v>
      </c>
    </row>
    <row r="1906" spans="1:12" x14ac:dyDescent="0.35">
      <c r="A1906" t="s">
        <v>190</v>
      </c>
      <c r="B1906" t="s">
        <v>554</v>
      </c>
      <c r="C1906" t="s">
        <v>302</v>
      </c>
      <c r="D1906" t="s">
        <v>155</v>
      </c>
      <c r="E1906">
        <v>159</v>
      </c>
      <c r="F1906">
        <v>522</v>
      </c>
      <c r="G1906">
        <v>261</v>
      </c>
      <c r="H1906">
        <v>44949</v>
      </c>
      <c r="L1906">
        <v>44949</v>
      </c>
    </row>
    <row r="1907" spans="1:12" x14ac:dyDescent="0.35">
      <c r="A1907" t="s">
        <v>555</v>
      </c>
      <c r="B1907" t="s">
        <v>556</v>
      </c>
      <c r="C1907" t="s">
        <v>302</v>
      </c>
      <c r="D1907" t="s">
        <v>155</v>
      </c>
      <c r="E1907">
        <v>3466</v>
      </c>
      <c r="F1907">
        <v>3972</v>
      </c>
      <c r="G1907">
        <v>1986</v>
      </c>
      <c r="H1907">
        <v>44956</v>
      </c>
      <c r="L1907">
        <v>44956</v>
      </c>
    </row>
    <row r="1908" spans="1:12" x14ac:dyDescent="0.35">
      <c r="A1908" t="s">
        <v>478</v>
      </c>
      <c r="B1908">
        <v>44835</v>
      </c>
      <c r="C1908" t="s">
        <v>302</v>
      </c>
      <c r="D1908" t="s">
        <v>155</v>
      </c>
      <c r="E1908">
        <v>403</v>
      </c>
      <c r="F1908">
        <v>2685.5597337270001</v>
      </c>
      <c r="G1908">
        <v>1342.7798668830001</v>
      </c>
      <c r="H1908">
        <v>44986</v>
      </c>
      <c r="J1908">
        <v>44914</v>
      </c>
      <c r="K1908" t="s">
        <v>557</v>
      </c>
      <c r="L1908">
        <v>44986</v>
      </c>
    </row>
    <row r="1909" spans="1:12" x14ac:dyDescent="0.35">
      <c r="A1909" t="s">
        <v>478</v>
      </c>
      <c r="B1909">
        <v>44866</v>
      </c>
      <c r="C1909" t="s">
        <v>302</v>
      </c>
      <c r="D1909" t="s">
        <v>155</v>
      </c>
      <c r="E1909">
        <v>417</v>
      </c>
      <c r="F1909">
        <v>1800</v>
      </c>
      <c r="G1909">
        <v>900</v>
      </c>
      <c r="H1909">
        <v>44986</v>
      </c>
      <c r="J1909">
        <v>44584</v>
      </c>
      <c r="K1909" t="s">
        <v>558</v>
      </c>
      <c r="L1909">
        <v>44986</v>
      </c>
    </row>
    <row r="1910" spans="1:12" x14ac:dyDescent="0.35">
      <c r="A1910" t="s">
        <v>528</v>
      </c>
      <c r="B1910" t="s">
        <v>547</v>
      </c>
      <c r="C1910" t="s">
        <v>302</v>
      </c>
      <c r="D1910" t="s">
        <v>155</v>
      </c>
      <c r="E1910">
        <v>16</v>
      </c>
      <c r="F1910">
        <v>45</v>
      </c>
      <c r="G1910">
        <v>23</v>
      </c>
      <c r="H1910">
        <v>44998</v>
      </c>
      <c r="L1910">
        <v>44998</v>
      </c>
    </row>
    <row r="1911" spans="1:12" x14ac:dyDescent="0.35">
      <c r="A1911" t="s">
        <v>528</v>
      </c>
      <c r="B1911" t="s">
        <v>559</v>
      </c>
      <c r="C1911" t="s">
        <v>302</v>
      </c>
      <c r="D1911" t="s">
        <v>155</v>
      </c>
      <c r="E1911">
        <v>30</v>
      </c>
      <c r="F1911">
        <v>103</v>
      </c>
      <c r="G1911">
        <v>51</v>
      </c>
      <c r="H1911">
        <v>44998</v>
      </c>
      <c r="L1911">
        <v>44998</v>
      </c>
    </row>
    <row r="1912" spans="1:12" x14ac:dyDescent="0.35">
      <c r="A1912" t="s">
        <v>162</v>
      </c>
      <c r="B1912" t="s">
        <v>547</v>
      </c>
      <c r="C1912" t="s">
        <v>302</v>
      </c>
      <c r="D1912" t="s">
        <v>155</v>
      </c>
      <c r="E1912">
        <v>184</v>
      </c>
      <c r="F1912">
        <v>415</v>
      </c>
      <c r="G1912">
        <v>249</v>
      </c>
      <c r="H1912">
        <v>45042</v>
      </c>
      <c r="L1912">
        <v>45044</v>
      </c>
    </row>
    <row r="1913" spans="1:12" x14ac:dyDescent="0.35">
      <c r="A1913" t="s">
        <v>456</v>
      </c>
      <c r="B1913" t="s">
        <v>550</v>
      </c>
      <c r="C1913" t="s">
        <v>302</v>
      </c>
      <c r="D1913" t="s">
        <v>155</v>
      </c>
      <c r="E1913">
        <v>10</v>
      </c>
      <c r="F1913">
        <v>38.578314728000002</v>
      </c>
      <c r="G1913">
        <v>19.289157364000001</v>
      </c>
      <c r="H1913">
        <v>45030</v>
      </c>
    </row>
    <row r="1914" spans="1:12" x14ac:dyDescent="0.35">
      <c r="A1914" t="s">
        <v>456</v>
      </c>
      <c r="B1914" t="s">
        <v>560</v>
      </c>
      <c r="C1914" t="s">
        <v>561</v>
      </c>
      <c r="D1914" t="s">
        <v>155</v>
      </c>
      <c r="E1914">
        <v>152</v>
      </c>
      <c r="F1914">
        <v>10</v>
      </c>
      <c r="G1914">
        <v>6</v>
      </c>
      <c r="H1914">
        <v>45030</v>
      </c>
    </row>
    <row r="1915" spans="1:12" x14ac:dyDescent="0.35">
      <c r="A1915" t="s">
        <v>562</v>
      </c>
      <c r="B1915" t="s">
        <v>563</v>
      </c>
      <c r="C1915" t="s">
        <v>302</v>
      </c>
      <c r="D1915" t="s">
        <v>155</v>
      </c>
      <c r="E1915">
        <v>481</v>
      </c>
      <c r="F1915">
        <v>1824.842199444</v>
      </c>
      <c r="G1915">
        <v>912.42109953600004</v>
      </c>
      <c r="H1915">
        <v>45035</v>
      </c>
      <c r="L1915">
        <v>45056</v>
      </c>
    </row>
    <row r="1916" spans="1:12" x14ac:dyDescent="0.35">
      <c r="A1916" t="s">
        <v>430</v>
      </c>
      <c r="B1916" t="s">
        <v>519</v>
      </c>
      <c r="C1916" t="s">
        <v>302</v>
      </c>
      <c r="D1916" t="s">
        <v>155</v>
      </c>
      <c r="E1916">
        <v>32</v>
      </c>
      <c r="F1916">
        <v>99.535976820532696</v>
      </c>
      <c r="G1916">
        <v>39.814390728213091</v>
      </c>
      <c r="H1916">
        <v>45096</v>
      </c>
      <c r="L1916">
        <v>45159</v>
      </c>
    </row>
    <row r="1917" spans="1:12" x14ac:dyDescent="0.35">
      <c r="A1917" t="s">
        <v>564</v>
      </c>
      <c r="B1917" t="s">
        <v>565</v>
      </c>
      <c r="C1917" t="s">
        <v>302</v>
      </c>
      <c r="D1917" t="s">
        <v>155</v>
      </c>
      <c r="E1917">
        <v>3414</v>
      </c>
      <c r="F1917">
        <v>13736.162342108</v>
      </c>
      <c r="G1917">
        <v>6868.0811712679997</v>
      </c>
      <c r="H1917">
        <v>45037</v>
      </c>
      <c r="L1917">
        <v>45037</v>
      </c>
    </row>
    <row r="1918" spans="1:12" x14ac:dyDescent="0.35">
      <c r="A1918" t="s">
        <v>388</v>
      </c>
      <c r="B1918" t="s">
        <v>560</v>
      </c>
      <c r="C1918" t="s">
        <v>561</v>
      </c>
      <c r="D1918" t="s">
        <v>155</v>
      </c>
      <c r="E1918">
        <v>903</v>
      </c>
      <c r="F1918">
        <v>27.6539414055514</v>
      </c>
      <c r="G1918">
        <v>56.291030704275698</v>
      </c>
      <c r="H1918">
        <v>45042</v>
      </c>
      <c r="L1918">
        <v>45042</v>
      </c>
    </row>
    <row r="1919" spans="1:12" x14ac:dyDescent="0.35">
      <c r="A1919" t="s">
        <v>566</v>
      </c>
      <c r="B1919" t="s">
        <v>567</v>
      </c>
      <c r="C1919" t="s">
        <v>302</v>
      </c>
      <c r="D1919" t="s">
        <v>155</v>
      </c>
      <c r="E1919">
        <v>2599</v>
      </c>
      <c r="F1919">
        <v>1018.169217949</v>
      </c>
      <c r="G1919">
        <v>509.08460899699998</v>
      </c>
      <c r="H1919">
        <v>45042</v>
      </c>
      <c r="L1919">
        <v>45042</v>
      </c>
    </row>
    <row r="1920" spans="1:12" x14ac:dyDescent="0.35">
      <c r="A1920" t="s">
        <v>162</v>
      </c>
      <c r="B1920" t="s">
        <v>567</v>
      </c>
      <c r="C1920" t="s">
        <v>302</v>
      </c>
      <c r="D1920" t="s">
        <v>155</v>
      </c>
      <c r="E1920">
        <v>163</v>
      </c>
      <c r="F1920">
        <v>392</v>
      </c>
      <c r="G1920">
        <v>235</v>
      </c>
      <c r="H1920">
        <v>45042</v>
      </c>
      <c r="L1920">
        <v>45044</v>
      </c>
    </row>
    <row r="1921" spans="1:12" x14ac:dyDescent="0.35">
      <c r="A1921" t="s">
        <v>525</v>
      </c>
      <c r="B1921" t="s">
        <v>547</v>
      </c>
      <c r="C1921" t="s">
        <v>302</v>
      </c>
      <c r="D1921" t="s">
        <v>155</v>
      </c>
      <c r="E1921">
        <v>372</v>
      </c>
      <c r="F1921">
        <v>1198</v>
      </c>
      <c r="G1921">
        <v>719</v>
      </c>
      <c r="H1921">
        <v>44894</v>
      </c>
    </row>
    <row r="1922" spans="1:12" x14ac:dyDescent="0.35">
      <c r="A1922" t="s">
        <v>525</v>
      </c>
      <c r="B1922" t="s">
        <v>568</v>
      </c>
      <c r="C1922" t="s">
        <v>302</v>
      </c>
      <c r="D1922" t="s">
        <v>155</v>
      </c>
      <c r="E1922">
        <v>1190</v>
      </c>
      <c r="F1922">
        <v>4132</v>
      </c>
      <c r="G1922">
        <f>964+812+298+406</f>
        <v>2480</v>
      </c>
      <c r="H1922">
        <v>45044</v>
      </c>
    </row>
    <row r="1923" spans="1:12" x14ac:dyDescent="0.35">
      <c r="A1923" t="s">
        <v>390</v>
      </c>
      <c r="B1923" t="s">
        <v>569</v>
      </c>
      <c r="C1923" t="s">
        <v>302</v>
      </c>
      <c r="D1923" t="s">
        <v>155</v>
      </c>
      <c r="E1923">
        <v>276</v>
      </c>
      <c r="F1923">
        <v>1321.083084915</v>
      </c>
      <c r="G1923">
        <v>660.54154249099997</v>
      </c>
      <c r="H1923">
        <v>45044</v>
      </c>
      <c r="K1923" t="s">
        <v>570</v>
      </c>
      <c r="L1923">
        <v>45055</v>
      </c>
    </row>
    <row r="1924" spans="1:12" x14ac:dyDescent="0.35">
      <c r="A1924" t="s">
        <v>571</v>
      </c>
      <c r="B1924" t="s">
        <v>572</v>
      </c>
      <c r="C1924" t="s">
        <v>302</v>
      </c>
      <c r="D1924" t="s">
        <v>155</v>
      </c>
      <c r="E1924">
        <v>619</v>
      </c>
      <c r="F1924">
        <v>1363.5487662999999</v>
      </c>
      <c r="G1924">
        <v>681.77438317600001</v>
      </c>
      <c r="H1924">
        <v>45050</v>
      </c>
      <c r="L1924">
        <v>45050</v>
      </c>
    </row>
    <row r="1925" spans="1:12" x14ac:dyDescent="0.35">
      <c r="A1925" t="s">
        <v>387</v>
      </c>
      <c r="B1925" t="s">
        <v>573</v>
      </c>
      <c r="C1925" t="s">
        <v>302</v>
      </c>
      <c r="D1925" t="s">
        <v>155</v>
      </c>
      <c r="E1925">
        <v>48</v>
      </c>
      <c r="F1925">
        <v>178.68030441400001</v>
      </c>
      <c r="G1925">
        <v>107.20818264499999</v>
      </c>
      <c r="H1925">
        <v>45055</v>
      </c>
      <c r="L1925">
        <v>45055</v>
      </c>
    </row>
    <row r="1926" spans="1:12" x14ac:dyDescent="0.35">
      <c r="A1926" t="s">
        <v>574</v>
      </c>
      <c r="B1926" t="s">
        <v>563</v>
      </c>
      <c r="C1926" t="s">
        <v>302</v>
      </c>
      <c r="D1926" t="s">
        <v>155</v>
      </c>
      <c r="E1926">
        <v>23131</v>
      </c>
      <c r="F1926">
        <v>87107</v>
      </c>
      <c r="G1926">
        <v>56620</v>
      </c>
      <c r="H1926">
        <v>45056</v>
      </c>
      <c r="L1926">
        <v>45056</v>
      </c>
    </row>
    <row r="1927" spans="1:12" x14ac:dyDescent="0.35">
      <c r="A1927" t="s">
        <v>383</v>
      </c>
      <c r="B1927" t="s">
        <v>573</v>
      </c>
      <c r="C1927" t="s">
        <v>302</v>
      </c>
      <c r="D1927" t="s">
        <v>155</v>
      </c>
      <c r="E1927">
        <v>1827</v>
      </c>
      <c r="F1927">
        <v>7668.0387014870003</v>
      </c>
      <c r="G1927">
        <v>3067.2154806929998</v>
      </c>
      <c r="H1927">
        <v>45063</v>
      </c>
      <c r="L1927">
        <v>45063</v>
      </c>
    </row>
    <row r="1928" spans="1:12" x14ac:dyDescent="0.35">
      <c r="A1928" t="s">
        <v>575</v>
      </c>
      <c r="B1928" t="s">
        <v>576</v>
      </c>
      <c r="C1928" t="s">
        <v>302</v>
      </c>
      <c r="D1928" t="s">
        <v>155</v>
      </c>
      <c r="E1928">
        <v>36565</v>
      </c>
      <c r="F1928">
        <v>125045.90313643</v>
      </c>
      <c r="G1928">
        <v>62522.951568794</v>
      </c>
      <c r="H1928">
        <v>45080</v>
      </c>
      <c r="K1928" t="s">
        <v>577</v>
      </c>
      <c r="L1928">
        <v>45080</v>
      </c>
    </row>
    <row r="1929" spans="1:12" x14ac:dyDescent="0.35">
      <c r="A1929" t="s">
        <v>575</v>
      </c>
      <c r="B1929" t="s">
        <v>576</v>
      </c>
      <c r="C1929" t="s">
        <v>246</v>
      </c>
      <c r="D1929" t="s">
        <v>155</v>
      </c>
      <c r="E1929">
        <v>425340</v>
      </c>
      <c r="F1929">
        <v>28829.886170657999</v>
      </c>
      <c r="G1929">
        <v>21820.832495328999</v>
      </c>
      <c r="H1929">
        <v>45080</v>
      </c>
      <c r="K1929" t="s">
        <v>577</v>
      </c>
      <c r="L1929">
        <v>45080</v>
      </c>
    </row>
    <row r="1930" spans="1:12" x14ac:dyDescent="0.35">
      <c r="A1930" t="s">
        <v>555</v>
      </c>
      <c r="B1930" t="s">
        <v>576</v>
      </c>
      <c r="C1930" t="s">
        <v>302</v>
      </c>
      <c r="D1930" t="s">
        <v>155</v>
      </c>
      <c r="E1930">
        <v>12878</v>
      </c>
      <c r="F1930">
        <v>32091.483035601999</v>
      </c>
      <c r="G1930">
        <v>16045.741517734999</v>
      </c>
      <c r="H1930">
        <v>45092</v>
      </c>
      <c r="L1930">
        <v>45092</v>
      </c>
    </row>
    <row r="1931" spans="1:12" x14ac:dyDescent="0.35">
      <c r="A1931" t="s">
        <v>450</v>
      </c>
      <c r="B1931" t="s">
        <v>578</v>
      </c>
      <c r="C1931" t="s">
        <v>302</v>
      </c>
      <c r="D1931" t="s">
        <v>155</v>
      </c>
      <c r="E1931">
        <v>1657</v>
      </c>
      <c r="F1931">
        <v>4753.3088913269876</v>
      </c>
      <c r="G1931">
        <v>2376.654445754994</v>
      </c>
      <c r="H1931">
        <v>45100</v>
      </c>
      <c r="L1931">
        <v>45100</v>
      </c>
    </row>
    <row r="1932" spans="1:12" x14ac:dyDescent="0.35">
      <c r="A1932" t="s">
        <v>450</v>
      </c>
      <c r="B1932" t="s">
        <v>579</v>
      </c>
      <c r="C1932" t="s">
        <v>246</v>
      </c>
      <c r="D1932" t="s">
        <v>155</v>
      </c>
      <c r="E1932">
        <v>5171</v>
      </c>
      <c r="F1932">
        <v>0</v>
      </c>
      <c r="G1932">
        <v>414</v>
      </c>
      <c r="H1932">
        <v>45100</v>
      </c>
      <c r="L1932">
        <v>45100</v>
      </c>
    </row>
    <row r="1933" spans="1:12" x14ac:dyDescent="0.35">
      <c r="A1933" t="s">
        <v>580</v>
      </c>
      <c r="B1933" t="s">
        <v>576</v>
      </c>
      <c r="C1933" t="s">
        <v>302</v>
      </c>
      <c r="D1933" t="s">
        <v>155</v>
      </c>
      <c r="E1933">
        <v>134898</v>
      </c>
      <c r="F1933">
        <v>12189</v>
      </c>
      <c r="G1933">
        <v>11974</v>
      </c>
      <c r="H1933">
        <v>45104</v>
      </c>
      <c r="L1933">
        <v>45104</v>
      </c>
    </row>
    <row r="1934" spans="1:12" x14ac:dyDescent="0.35">
      <c r="A1934" t="s">
        <v>574</v>
      </c>
      <c r="B1934" t="s">
        <v>581</v>
      </c>
      <c r="C1934" t="s">
        <v>302</v>
      </c>
      <c r="D1934" t="s">
        <v>155</v>
      </c>
      <c r="E1934">
        <v>23042</v>
      </c>
      <c r="F1934">
        <v>66763</v>
      </c>
      <c r="G1934">
        <v>43396</v>
      </c>
      <c r="H1934">
        <v>45104</v>
      </c>
      <c r="L1934">
        <v>45104</v>
      </c>
    </row>
    <row r="1935" spans="1:12" x14ac:dyDescent="0.35">
      <c r="A1935" t="s">
        <v>400</v>
      </c>
      <c r="B1935" t="s">
        <v>582</v>
      </c>
      <c r="C1935" t="s">
        <v>302</v>
      </c>
      <c r="D1935" t="s">
        <v>155</v>
      </c>
      <c r="E1935">
        <v>2205</v>
      </c>
      <c r="F1935">
        <v>8092.7606219489999</v>
      </c>
      <c r="G1935">
        <v>5260.2944041230003</v>
      </c>
      <c r="H1935">
        <v>45105</v>
      </c>
      <c r="L1935">
        <v>45105</v>
      </c>
    </row>
    <row r="1936" spans="1:12" x14ac:dyDescent="0.35">
      <c r="A1936" t="s">
        <v>564</v>
      </c>
      <c r="B1936" t="s">
        <v>583</v>
      </c>
      <c r="C1936" t="s">
        <v>302</v>
      </c>
      <c r="D1936" t="s">
        <v>155</v>
      </c>
      <c r="E1936">
        <v>5358</v>
      </c>
      <c r="F1936">
        <v>17469.757733974002</v>
      </c>
      <c r="G1936">
        <v>8734.8788666349992</v>
      </c>
      <c r="H1936">
        <v>45106</v>
      </c>
      <c r="L1936">
        <v>45106</v>
      </c>
    </row>
    <row r="1937" spans="1:12" x14ac:dyDescent="0.35">
      <c r="A1937" t="s">
        <v>386</v>
      </c>
      <c r="B1937" t="s">
        <v>584</v>
      </c>
      <c r="C1937" t="s">
        <v>302</v>
      </c>
      <c r="D1937" t="s">
        <v>155</v>
      </c>
      <c r="E1937">
        <v>257</v>
      </c>
      <c r="F1937">
        <v>878.17629900199995</v>
      </c>
      <c r="G1937">
        <v>439.08814950700003</v>
      </c>
      <c r="H1937">
        <v>45106</v>
      </c>
      <c r="L1937">
        <v>45106</v>
      </c>
    </row>
    <row r="1938" spans="1:12" x14ac:dyDescent="0.35">
      <c r="A1938" t="s">
        <v>585</v>
      </c>
      <c r="B1938" t="s">
        <v>586</v>
      </c>
      <c r="C1938" t="s">
        <v>302</v>
      </c>
      <c r="D1938" t="s">
        <v>155</v>
      </c>
      <c r="E1938">
        <v>113</v>
      </c>
      <c r="F1938">
        <v>275</v>
      </c>
      <c r="G1938">
        <v>138</v>
      </c>
      <c r="H1938">
        <v>45127</v>
      </c>
      <c r="L1938">
        <v>45127</v>
      </c>
    </row>
    <row r="1939" spans="1:12" x14ac:dyDescent="0.35">
      <c r="A1939" t="s">
        <v>587</v>
      </c>
      <c r="B1939" t="s">
        <v>576</v>
      </c>
      <c r="C1939" t="s">
        <v>302</v>
      </c>
      <c r="D1939" t="s">
        <v>155</v>
      </c>
      <c r="E1939">
        <v>17715</v>
      </c>
      <c r="F1939">
        <v>53390.679189479997</v>
      </c>
      <c r="G1939">
        <v>26700.929374116</v>
      </c>
      <c r="H1939">
        <v>45128</v>
      </c>
      <c r="L1939">
        <v>45128</v>
      </c>
    </row>
    <row r="1940" spans="1:12" x14ac:dyDescent="0.35">
      <c r="A1940" t="s">
        <v>587</v>
      </c>
      <c r="B1940" t="s">
        <v>588</v>
      </c>
      <c r="C1940" t="s">
        <v>302</v>
      </c>
      <c r="D1940" t="s">
        <v>155</v>
      </c>
      <c r="E1940">
        <v>19853</v>
      </c>
      <c r="F1940">
        <v>40307.850081476994</v>
      </c>
      <c r="G1940">
        <v>20153.925040361999</v>
      </c>
      <c r="H1940">
        <v>45128</v>
      </c>
      <c r="L1940">
        <v>45128</v>
      </c>
    </row>
    <row r="1941" spans="1:12" x14ac:dyDescent="0.35">
      <c r="A1941" t="s">
        <v>589</v>
      </c>
      <c r="B1941" t="s">
        <v>590</v>
      </c>
      <c r="C1941" t="s">
        <v>302</v>
      </c>
      <c r="D1941" t="s">
        <v>155</v>
      </c>
      <c r="E1941">
        <v>512</v>
      </c>
      <c r="F1941">
        <v>1528.3452072960001</v>
      </c>
      <c r="G1941">
        <v>764.17260368899997</v>
      </c>
      <c r="H1941">
        <v>45129</v>
      </c>
      <c r="L1941">
        <v>45129</v>
      </c>
    </row>
    <row r="1942" spans="1:12" x14ac:dyDescent="0.35">
      <c r="A1942" t="s">
        <v>375</v>
      </c>
      <c r="B1942" t="s">
        <v>584</v>
      </c>
      <c r="C1942" t="s">
        <v>302</v>
      </c>
      <c r="D1942" t="s">
        <v>155</v>
      </c>
      <c r="E1942">
        <v>2243</v>
      </c>
      <c r="F1942">
        <v>9509.4689104200006</v>
      </c>
      <c r="G1942">
        <v>4754.7344546759996</v>
      </c>
      <c r="H1942">
        <v>45133</v>
      </c>
      <c r="L1942">
        <v>45133</v>
      </c>
    </row>
    <row r="1943" spans="1:12" x14ac:dyDescent="0.35">
      <c r="A1943" t="s">
        <v>332</v>
      </c>
      <c r="B1943" t="s">
        <v>591</v>
      </c>
      <c r="C1943" t="s">
        <v>302</v>
      </c>
      <c r="D1943" t="s">
        <v>155</v>
      </c>
      <c r="H1943">
        <v>45133</v>
      </c>
    </row>
    <row r="1944" spans="1:12" x14ac:dyDescent="0.35">
      <c r="A1944" t="s">
        <v>592</v>
      </c>
      <c r="B1944" t="s">
        <v>593</v>
      </c>
      <c r="C1944" t="s">
        <v>302</v>
      </c>
      <c r="D1944" t="s">
        <v>155</v>
      </c>
      <c r="E1944">
        <v>30</v>
      </c>
      <c r="F1944">
        <v>59</v>
      </c>
      <c r="G1944">
        <v>30</v>
      </c>
      <c r="H1944">
        <v>45140</v>
      </c>
    </row>
    <row r="1945" spans="1:12" x14ac:dyDescent="0.35">
      <c r="A1945" t="s">
        <v>478</v>
      </c>
      <c r="B1945" t="s">
        <v>594</v>
      </c>
      <c r="C1945" t="s">
        <v>302</v>
      </c>
      <c r="D1945" t="s">
        <v>155</v>
      </c>
      <c r="E1945">
        <v>1468</v>
      </c>
      <c r="F1945">
        <v>5347</v>
      </c>
      <c r="G1945">
        <v>2674</v>
      </c>
      <c r="H1945">
        <v>45146</v>
      </c>
      <c r="K1945" t="s">
        <v>595</v>
      </c>
      <c r="L1945">
        <v>45146</v>
      </c>
    </row>
    <row r="1946" spans="1:12" x14ac:dyDescent="0.35">
      <c r="A1946" t="s">
        <v>478</v>
      </c>
      <c r="B1946" t="s">
        <v>596</v>
      </c>
      <c r="C1946" t="s">
        <v>302</v>
      </c>
      <c r="D1946" t="s">
        <v>155</v>
      </c>
      <c r="E1946">
        <v>815</v>
      </c>
      <c r="F1946">
        <v>2274</v>
      </c>
      <c r="G1946">
        <v>1137</v>
      </c>
      <c r="H1946">
        <v>45146</v>
      </c>
      <c r="K1946" t="s">
        <v>597</v>
      </c>
      <c r="L1946">
        <v>45146</v>
      </c>
    </row>
    <row r="1947" spans="1:12" x14ac:dyDescent="0.35">
      <c r="A1947" t="s">
        <v>525</v>
      </c>
      <c r="B1947" t="s">
        <v>598</v>
      </c>
      <c r="C1947" t="s">
        <v>302</v>
      </c>
      <c r="D1947" t="s">
        <v>155</v>
      </c>
      <c r="E1947">
        <v>2867</v>
      </c>
      <c r="F1947">
        <v>9510.8126684965246</v>
      </c>
      <c r="G1947">
        <v>5706.4876009181144</v>
      </c>
      <c r="H1947">
        <v>45152</v>
      </c>
      <c r="L1947">
        <v>45152</v>
      </c>
    </row>
    <row r="1948" spans="1:12" x14ac:dyDescent="0.35">
      <c r="A1948" t="s">
        <v>525</v>
      </c>
      <c r="B1948" t="s">
        <v>588</v>
      </c>
      <c r="C1948" t="s">
        <v>302</v>
      </c>
      <c r="D1948" t="s">
        <v>155</v>
      </c>
      <c r="E1948">
        <v>6898</v>
      </c>
      <c r="F1948">
        <v>9192</v>
      </c>
      <c r="G1948">
        <v>5515</v>
      </c>
      <c r="H1948">
        <v>45152</v>
      </c>
      <c r="L1948">
        <v>45152</v>
      </c>
    </row>
    <row r="1949" spans="1:12" x14ac:dyDescent="0.35">
      <c r="A1949" t="s">
        <v>599</v>
      </c>
      <c r="B1949" t="s">
        <v>563</v>
      </c>
      <c r="C1949" t="s">
        <v>302</v>
      </c>
      <c r="D1949" t="s">
        <v>155</v>
      </c>
      <c r="E1949">
        <v>17385</v>
      </c>
      <c r="F1949">
        <v>73730.545207200004</v>
      </c>
      <c r="G1949">
        <v>36865.272605710001</v>
      </c>
      <c r="H1949">
        <v>45062</v>
      </c>
      <c r="L1949">
        <v>45062</v>
      </c>
    </row>
    <row r="1950" spans="1:12" x14ac:dyDescent="0.35">
      <c r="A1950" t="s">
        <v>599</v>
      </c>
      <c r="B1950" t="s">
        <v>600</v>
      </c>
      <c r="C1950" t="s">
        <v>302</v>
      </c>
      <c r="D1950" t="s">
        <v>155</v>
      </c>
      <c r="E1950">
        <v>11435</v>
      </c>
      <c r="F1950">
        <v>34058.221654036999</v>
      </c>
      <c r="G1950">
        <v>17029.110827478002</v>
      </c>
      <c r="H1950">
        <v>45166</v>
      </c>
      <c r="L1950">
        <v>45166</v>
      </c>
    </row>
    <row r="1951" spans="1:12" x14ac:dyDescent="0.35">
      <c r="A1951" t="s">
        <v>601</v>
      </c>
      <c r="B1951" t="s">
        <v>576</v>
      </c>
      <c r="C1951" t="s">
        <v>302</v>
      </c>
      <c r="D1951" t="s">
        <v>155</v>
      </c>
      <c r="E1951">
        <v>1404</v>
      </c>
      <c r="F1951">
        <v>4840</v>
      </c>
      <c r="G1951">
        <v>2420</v>
      </c>
      <c r="H1951">
        <v>45166</v>
      </c>
      <c r="L1951">
        <v>45166</v>
      </c>
    </row>
    <row r="1952" spans="1:12" x14ac:dyDescent="0.35">
      <c r="A1952" t="s">
        <v>601</v>
      </c>
      <c r="B1952">
        <v>45017</v>
      </c>
      <c r="C1952" t="s">
        <v>302</v>
      </c>
      <c r="D1952" t="s">
        <v>155</v>
      </c>
      <c r="E1952">
        <v>1532</v>
      </c>
      <c r="F1952">
        <v>4712.8085283130004</v>
      </c>
      <c r="G1952">
        <v>2356.4042646950002</v>
      </c>
      <c r="H1952">
        <v>45166</v>
      </c>
      <c r="L1952">
        <v>45166</v>
      </c>
    </row>
    <row r="1953" spans="1:12" x14ac:dyDescent="0.35">
      <c r="A1953" t="s">
        <v>602</v>
      </c>
      <c r="B1953" t="s">
        <v>565</v>
      </c>
      <c r="C1953" t="s">
        <v>302</v>
      </c>
      <c r="D1953" t="s">
        <v>155</v>
      </c>
      <c r="E1953">
        <v>583</v>
      </c>
      <c r="F1953">
        <v>1175.3099411860001</v>
      </c>
      <c r="G1953">
        <v>587.65497061600001</v>
      </c>
      <c r="H1953">
        <v>45037</v>
      </c>
      <c r="L1953">
        <v>45037</v>
      </c>
    </row>
    <row r="1954" spans="1:12" x14ac:dyDescent="0.35">
      <c r="A1954" t="s">
        <v>602</v>
      </c>
      <c r="B1954" t="s">
        <v>583</v>
      </c>
      <c r="C1954" t="s">
        <v>302</v>
      </c>
      <c r="D1954" t="s">
        <v>155</v>
      </c>
      <c r="E1954">
        <v>251</v>
      </c>
      <c r="F1954">
        <v>705.30121992099998</v>
      </c>
      <c r="G1954">
        <v>352.65060997700004</v>
      </c>
      <c r="H1954">
        <v>45167</v>
      </c>
      <c r="L1954">
        <v>45167</v>
      </c>
    </row>
    <row r="1955" spans="1:12" x14ac:dyDescent="0.35">
      <c r="A1955" t="s">
        <v>602</v>
      </c>
      <c r="B1955">
        <v>45017</v>
      </c>
      <c r="C1955" t="s">
        <v>302</v>
      </c>
      <c r="D1955" t="s">
        <v>155</v>
      </c>
      <c r="E1955">
        <v>328</v>
      </c>
      <c r="F1955">
        <v>713.97717448000003</v>
      </c>
      <c r="G1955">
        <v>356.98858723900003</v>
      </c>
      <c r="H1955">
        <v>45167</v>
      </c>
      <c r="L1955">
        <v>45167</v>
      </c>
    </row>
    <row r="1956" spans="1:12" x14ac:dyDescent="0.35">
      <c r="A1956" t="s">
        <v>314</v>
      </c>
      <c r="B1956" t="s">
        <v>591</v>
      </c>
      <c r="C1956" t="s">
        <v>302</v>
      </c>
      <c r="D1956" t="s">
        <v>155</v>
      </c>
      <c r="E1956">
        <v>116</v>
      </c>
      <c r="F1956">
        <v>341.003153602</v>
      </c>
      <c r="G1956">
        <v>102.30094609599999</v>
      </c>
      <c r="H1956">
        <v>45167</v>
      </c>
      <c r="K1956" t="s">
        <v>603</v>
      </c>
      <c r="L1956">
        <v>45167</v>
      </c>
    </row>
    <row r="1957" spans="1:12" x14ac:dyDescent="0.35">
      <c r="A1957" t="s">
        <v>314</v>
      </c>
      <c r="B1957">
        <v>45017</v>
      </c>
      <c r="C1957" t="s">
        <v>302</v>
      </c>
      <c r="D1957" t="s">
        <v>155</v>
      </c>
      <c r="E1957">
        <v>45</v>
      </c>
      <c r="F1957">
        <v>98.804362948999994</v>
      </c>
      <c r="G1957">
        <v>29.641308879</v>
      </c>
      <c r="H1957">
        <v>45167</v>
      </c>
      <c r="K1957" t="s">
        <v>604</v>
      </c>
      <c r="L1957">
        <v>45167</v>
      </c>
    </row>
    <row r="1958" spans="1:12" x14ac:dyDescent="0.35">
      <c r="A1958" t="s">
        <v>575</v>
      </c>
      <c r="B1958" t="s">
        <v>605</v>
      </c>
      <c r="C1958" t="s">
        <v>302</v>
      </c>
      <c r="D1958" t="s">
        <v>155</v>
      </c>
      <c r="E1958">
        <v>59590</v>
      </c>
      <c r="F1958">
        <v>158107</v>
      </c>
      <c r="G1958">
        <v>79054</v>
      </c>
      <c r="H1958">
        <v>45218</v>
      </c>
      <c r="K1958" t="s">
        <v>606</v>
      </c>
      <c r="L1958">
        <v>45218</v>
      </c>
    </row>
    <row r="1959" spans="1:12" x14ac:dyDescent="0.35">
      <c r="A1959" t="s">
        <v>575</v>
      </c>
      <c r="B1959" t="s">
        <v>588</v>
      </c>
      <c r="C1959" t="s">
        <v>246</v>
      </c>
      <c r="D1959" t="s">
        <v>155</v>
      </c>
      <c r="E1959">
        <v>51428</v>
      </c>
      <c r="F1959">
        <v>0</v>
      </c>
      <c r="G1959">
        <v>4171</v>
      </c>
      <c r="H1959">
        <v>45218</v>
      </c>
      <c r="K1959" t="s">
        <v>606</v>
      </c>
      <c r="L1959">
        <v>45218</v>
      </c>
    </row>
    <row r="1960" spans="1:12" x14ac:dyDescent="0.35">
      <c r="A1960" t="s">
        <v>575</v>
      </c>
      <c r="B1960" t="s">
        <v>605</v>
      </c>
      <c r="C1960" t="s">
        <v>607</v>
      </c>
      <c r="D1960" t="s">
        <v>243</v>
      </c>
      <c r="E1960">
        <v>2</v>
      </c>
      <c r="F1960">
        <v>27</v>
      </c>
      <c r="G1960">
        <v>14</v>
      </c>
      <c r="H1960">
        <v>45218</v>
      </c>
      <c r="K1960" t="s">
        <v>606</v>
      </c>
      <c r="L1960">
        <v>45218</v>
      </c>
    </row>
    <row r="1961" spans="1:12" x14ac:dyDescent="0.35">
      <c r="A1961" t="s">
        <v>575</v>
      </c>
      <c r="B1961" t="s">
        <v>605</v>
      </c>
      <c r="C1961" t="s">
        <v>608</v>
      </c>
      <c r="D1961" t="s">
        <v>609</v>
      </c>
      <c r="E1961">
        <v>14</v>
      </c>
      <c r="F1961">
        <v>176</v>
      </c>
      <c r="G1961">
        <v>88</v>
      </c>
      <c r="H1961">
        <v>45218</v>
      </c>
      <c r="K1961" t="s">
        <v>606</v>
      </c>
      <c r="L1961">
        <v>45218</v>
      </c>
    </row>
    <row r="1962" spans="1:12" x14ac:dyDescent="0.35">
      <c r="A1962" t="s">
        <v>564</v>
      </c>
      <c r="B1962" t="s">
        <v>605</v>
      </c>
      <c r="C1962" t="s">
        <v>302</v>
      </c>
      <c r="D1962" t="s">
        <v>155</v>
      </c>
      <c r="E1962">
        <v>25053</v>
      </c>
      <c r="F1962">
        <v>67569</v>
      </c>
      <c r="G1962">
        <v>33784.5</v>
      </c>
      <c r="H1962">
        <v>45229</v>
      </c>
      <c r="L1962">
        <v>45229</v>
      </c>
    </row>
    <row r="1963" spans="1:12" x14ac:dyDescent="0.35">
      <c r="A1963" t="s">
        <v>602</v>
      </c>
      <c r="B1963" t="s">
        <v>610</v>
      </c>
      <c r="C1963" t="s">
        <v>302</v>
      </c>
      <c r="D1963" t="s">
        <v>155</v>
      </c>
      <c r="E1963">
        <v>1734</v>
      </c>
      <c r="F1963">
        <v>4312</v>
      </c>
      <c r="G1963">
        <v>2156</v>
      </c>
      <c r="H1963">
        <v>45229</v>
      </c>
      <c r="L1963">
        <v>45229</v>
      </c>
    </row>
    <row r="1964" spans="1:12" x14ac:dyDescent="0.35">
      <c r="A1964" t="s">
        <v>611</v>
      </c>
      <c r="B1964" t="s">
        <v>594</v>
      </c>
      <c r="C1964" t="s">
        <v>302</v>
      </c>
      <c r="D1964" t="s">
        <v>155</v>
      </c>
      <c r="E1964">
        <v>1667</v>
      </c>
      <c r="F1964">
        <v>25688</v>
      </c>
      <c r="G1964">
        <v>12844</v>
      </c>
      <c r="H1964">
        <v>45238</v>
      </c>
      <c r="K1964" t="s">
        <v>612</v>
      </c>
      <c r="L1964">
        <v>45238</v>
      </c>
    </row>
    <row r="1965" spans="1:12" x14ac:dyDescent="0.35">
      <c r="A1965" t="s">
        <v>611</v>
      </c>
      <c r="B1965" t="s">
        <v>605</v>
      </c>
      <c r="C1965" t="s">
        <v>302</v>
      </c>
      <c r="D1965" t="s">
        <v>155</v>
      </c>
      <c r="E1965">
        <v>4216</v>
      </c>
      <c r="F1965">
        <v>11776</v>
      </c>
      <c r="G1965">
        <v>5888</v>
      </c>
      <c r="H1965">
        <v>45238</v>
      </c>
      <c r="K1965" t="s">
        <v>606</v>
      </c>
      <c r="L1965">
        <v>45238</v>
      </c>
    </row>
    <row r="1966" spans="1:12" x14ac:dyDescent="0.35">
      <c r="A1966" t="s">
        <v>574</v>
      </c>
      <c r="B1966" t="s">
        <v>613</v>
      </c>
      <c r="C1966" t="s">
        <v>302</v>
      </c>
      <c r="D1966" t="s">
        <v>155</v>
      </c>
      <c r="E1966">
        <v>68749</v>
      </c>
      <c r="F1966">
        <v>187681</v>
      </c>
      <c r="G1966">
        <v>121993</v>
      </c>
      <c r="H1966">
        <v>45239</v>
      </c>
      <c r="L1966">
        <v>45239</v>
      </c>
    </row>
    <row r="1967" spans="1:12" x14ac:dyDescent="0.35">
      <c r="A1967" t="s">
        <v>457</v>
      </c>
      <c r="B1967" t="s">
        <v>614</v>
      </c>
      <c r="C1967" t="s">
        <v>302</v>
      </c>
      <c r="D1967" t="s">
        <v>155</v>
      </c>
      <c r="E1967">
        <v>85</v>
      </c>
      <c r="F1967">
        <v>224.37393574399999</v>
      </c>
      <c r="G1967">
        <v>112.186927865</v>
      </c>
      <c r="H1967">
        <v>45257</v>
      </c>
      <c r="L1967">
        <v>45257</v>
      </c>
    </row>
    <row r="1968" spans="1:12" x14ac:dyDescent="0.35">
      <c r="A1968" t="s">
        <v>615</v>
      </c>
      <c r="B1968" t="s">
        <v>616</v>
      </c>
      <c r="C1968" t="s">
        <v>302</v>
      </c>
      <c r="D1968" t="s">
        <v>155</v>
      </c>
      <c r="E1968">
        <v>464</v>
      </c>
      <c r="F1968">
        <v>954.13651541000013</v>
      </c>
      <c r="G1968">
        <v>477.06844771099998</v>
      </c>
      <c r="H1968">
        <v>45257</v>
      </c>
      <c r="L1968">
        <v>45257</v>
      </c>
    </row>
    <row r="1969" spans="1:12" x14ac:dyDescent="0.35">
      <c r="A1969" t="s">
        <v>436</v>
      </c>
      <c r="B1969" t="s">
        <v>591</v>
      </c>
      <c r="C1969" t="s">
        <v>302</v>
      </c>
      <c r="D1969" t="s">
        <v>155</v>
      </c>
      <c r="E1969">
        <v>412</v>
      </c>
      <c r="F1969">
        <v>1743.92305777</v>
      </c>
      <c r="G1969">
        <v>871.96152894400007</v>
      </c>
      <c r="H1969">
        <v>45261</v>
      </c>
      <c r="L1969">
        <v>45261</v>
      </c>
    </row>
    <row r="1970" spans="1:12" x14ac:dyDescent="0.35">
      <c r="A1970" t="s">
        <v>436</v>
      </c>
      <c r="B1970" t="s">
        <v>614</v>
      </c>
      <c r="C1970" t="s">
        <v>302</v>
      </c>
      <c r="D1970" t="s">
        <v>155</v>
      </c>
      <c r="E1970">
        <v>601</v>
      </c>
      <c r="F1970">
        <v>1581.1625629489999</v>
      </c>
      <c r="G1970">
        <v>790.58131146799997</v>
      </c>
      <c r="H1970">
        <v>45261</v>
      </c>
      <c r="L1970">
        <v>45261</v>
      </c>
    </row>
    <row r="1971" spans="1:12" x14ac:dyDescent="0.35">
      <c r="A1971" t="s">
        <v>617</v>
      </c>
      <c r="B1971" t="s">
        <v>618</v>
      </c>
      <c r="C1971" t="s">
        <v>302</v>
      </c>
      <c r="D1971" t="s">
        <v>155</v>
      </c>
      <c r="E1971">
        <v>681</v>
      </c>
      <c r="F1971">
        <v>1478.6292780459999</v>
      </c>
      <c r="G1971">
        <v>739.31467909899993</v>
      </c>
      <c r="H1971">
        <v>45261</v>
      </c>
      <c r="K1971" t="s">
        <v>619</v>
      </c>
      <c r="L1971">
        <v>45261</v>
      </c>
    </row>
    <row r="1972" spans="1:12" x14ac:dyDescent="0.35">
      <c r="A1972" t="s">
        <v>405</v>
      </c>
      <c r="B1972" t="s">
        <v>519</v>
      </c>
      <c r="C1972" t="s">
        <v>246</v>
      </c>
      <c r="D1972" t="s">
        <v>155</v>
      </c>
      <c r="E1972">
        <v>119826</v>
      </c>
      <c r="F1972">
        <v>1415.322975001</v>
      </c>
      <c r="G1972">
        <v>6208.8816174890007</v>
      </c>
      <c r="H1972">
        <v>45265</v>
      </c>
      <c r="L1972">
        <v>45265</v>
      </c>
    </row>
    <row r="1973" spans="1:12" x14ac:dyDescent="0.35">
      <c r="A1973" t="s">
        <v>405</v>
      </c>
      <c r="B1973" t="s">
        <v>620</v>
      </c>
      <c r="C1973" t="s">
        <v>621</v>
      </c>
      <c r="D1973" t="s">
        <v>155</v>
      </c>
      <c r="E1973">
        <v>10</v>
      </c>
      <c r="F1973">
        <v>1.2000000000000002</v>
      </c>
      <c r="G1973">
        <v>0.60000000000000009</v>
      </c>
      <c r="H1973">
        <v>44592</v>
      </c>
      <c r="L1973">
        <v>45265</v>
      </c>
    </row>
    <row r="1974" spans="1:12" x14ac:dyDescent="0.35">
      <c r="A1974" t="s">
        <v>405</v>
      </c>
      <c r="B1974" t="s">
        <v>622</v>
      </c>
      <c r="C1974" t="s">
        <v>240</v>
      </c>
      <c r="D1974" t="s">
        <v>155</v>
      </c>
      <c r="E1974">
        <v>9</v>
      </c>
      <c r="F1974">
        <v>2.2627772045135486</v>
      </c>
      <c r="G1974">
        <v>1.1313886022567743</v>
      </c>
      <c r="H1974">
        <v>44571</v>
      </c>
      <c r="L1974">
        <v>45265</v>
      </c>
    </row>
    <row r="1975" spans="1:12" x14ac:dyDescent="0.35">
      <c r="A1975" t="s">
        <v>405</v>
      </c>
      <c r="B1975" t="s">
        <v>623</v>
      </c>
      <c r="C1975" t="s">
        <v>240</v>
      </c>
      <c r="D1975" t="s">
        <v>155</v>
      </c>
      <c r="E1975">
        <v>5</v>
      </c>
      <c r="F1975">
        <v>1.099151341617109</v>
      </c>
      <c r="G1975">
        <v>0.54957567080855452</v>
      </c>
      <c r="H1975">
        <v>44585</v>
      </c>
      <c r="L1975">
        <v>45265</v>
      </c>
    </row>
    <row r="1976" spans="1:12" x14ac:dyDescent="0.35">
      <c r="A1976" t="s">
        <v>405</v>
      </c>
      <c r="B1976" t="s">
        <v>622</v>
      </c>
      <c r="C1976" t="s">
        <v>246</v>
      </c>
      <c r="D1976" t="s">
        <v>155</v>
      </c>
      <c r="E1976">
        <v>2859</v>
      </c>
      <c r="F1976">
        <v>0</v>
      </c>
      <c r="G1976">
        <v>151.73699999999999</v>
      </c>
      <c r="H1976">
        <v>44580</v>
      </c>
      <c r="L1976">
        <v>45265</v>
      </c>
    </row>
    <row r="1977" spans="1:12" x14ac:dyDescent="0.35">
      <c r="A1977" t="s">
        <v>405</v>
      </c>
      <c r="B1977" t="s">
        <v>623</v>
      </c>
      <c r="C1977" t="s">
        <v>246</v>
      </c>
      <c r="D1977" t="s">
        <v>155</v>
      </c>
      <c r="E1977">
        <v>2093</v>
      </c>
      <c r="F1977">
        <v>0</v>
      </c>
      <c r="G1977">
        <v>111.15537999999999</v>
      </c>
      <c r="H1977">
        <v>44603</v>
      </c>
      <c r="L1977">
        <v>45265</v>
      </c>
    </row>
    <row r="1978" spans="1:12" x14ac:dyDescent="0.35">
      <c r="A1978" t="s">
        <v>405</v>
      </c>
      <c r="B1978" t="s">
        <v>624</v>
      </c>
      <c r="C1978" t="s">
        <v>246</v>
      </c>
      <c r="D1978" t="s">
        <v>155</v>
      </c>
      <c r="E1978">
        <v>1777</v>
      </c>
      <c r="F1978">
        <v>0</v>
      </c>
      <c r="G1978">
        <v>94.37730000000002</v>
      </c>
      <c r="H1978">
        <v>44609</v>
      </c>
      <c r="L1978">
        <v>45265</v>
      </c>
    </row>
    <row r="1979" spans="1:12" x14ac:dyDescent="0.35">
      <c r="A1979" t="s">
        <v>405</v>
      </c>
      <c r="B1979" t="s">
        <v>502</v>
      </c>
      <c r="C1979" t="s">
        <v>246</v>
      </c>
      <c r="D1979" t="s">
        <v>155</v>
      </c>
      <c r="E1979">
        <v>1871</v>
      </c>
      <c r="F1979">
        <v>0</v>
      </c>
      <c r="G1979">
        <v>99.393209999999996</v>
      </c>
      <c r="H1979">
        <v>44679</v>
      </c>
      <c r="L1979">
        <v>45265</v>
      </c>
    </row>
    <row r="1980" spans="1:12" x14ac:dyDescent="0.35">
      <c r="A1980" t="s">
        <v>405</v>
      </c>
      <c r="B1980" t="s">
        <v>622</v>
      </c>
      <c r="C1980" t="s">
        <v>625</v>
      </c>
      <c r="D1980" t="s">
        <v>155</v>
      </c>
      <c r="E1980">
        <v>327</v>
      </c>
      <c r="F1980">
        <v>24.819844616055462</v>
      </c>
      <c r="G1980">
        <v>12.409922308027731</v>
      </c>
      <c r="H1980">
        <v>44566</v>
      </c>
      <c r="L1980">
        <v>45265</v>
      </c>
    </row>
    <row r="1981" spans="1:12" x14ac:dyDescent="0.35">
      <c r="A1981" t="s">
        <v>405</v>
      </c>
      <c r="B1981" t="s">
        <v>623</v>
      </c>
      <c r="C1981" t="s">
        <v>625</v>
      </c>
      <c r="D1981" t="s">
        <v>155</v>
      </c>
      <c r="E1981">
        <v>250</v>
      </c>
      <c r="F1981">
        <v>18.723526469141238</v>
      </c>
      <c r="G1981">
        <v>9.3617632345706188</v>
      </c>
      <c r="H1981">
        <v>44616</v>
      </c>
      <c r="L1981">
        <v>45265</v>
      </c>
    </row>
    <row r="1982" spans="1:12" x14ac:dyDescent="0.35">
      <c r="A1982" t="s">
        <v>405</v>
      </c>
      <c r="B1982" t="s">
        <v>624</v>
      </c>
      <c r="C1982" t="s">
        <v>625</v>
      </c>
      <c r="D1982" t="s">
        <v>155</v>
      </c>
      <c r="E1982">
        <v>276</v>
      </c>
      <c r="F1982">
        <v>22.24363491412997</v>
      </c>
      <c r="G1982">
        <v>11.121817457064985</v>
      </c>
      <c r="H1982">
        <v>44623</v>
      </c>
      <c r="L1982">
        <v>45265</v>
      </c>
    </row>
    <row r="1983" spans="1:12" x14ac:dyDescent="0.35">
      <c r="A1983" t="s">
        <v>405</v>
      </c>
      <c r="B1983" t="s">
        <v>626</v>
      </c>
      <c r="C1983" t="s">
        <v>625</v>
      </c>
      <c r="D1983" t="s">
        <v>155</v>
      </c>
      <c r="E1983">
        <v>286</v>
      </c>
      <c r="F1983">
        <v>26.140817276746031</v>
      </c>
      <c r="G1983">
        <v>13.070408638373015</v>
      </c>
      <c r="H1983">
        <v>44652</v>
      </c>
      <c r="L1983">
        <v>45265</v>
      </c>
    </row>
    <row r="1984" spans="1:12" x14ac:dyDescent="0.35">
      <c r="A1984" t="s">
        <v>405</v>
      </c>
      <c r="B1984" t="s">
        <v>614</v>
      </c>
      <c r="C1984" t="s">
        <v>302</v>
      </c>
      <c r="D1984" t="s">
        <v>155</v>
      </c>
      <c r="E1984">
        <v>197</v>
      </c>
      <c r="F1984">
        <v>439.20073056900003</v>
      </c>
      <c r="G1984">
        <v>219.60040528400003</v>
      </c>
      <c r="H1984">
        <v>45265</v>
      </c>
      <c r="L1984">
        <v>45265</v>
      </c>
    </row>
    <row r="1985" spans="1:12" x14ac:dyDescent="0.35">
      <c r="A1985" t="s">
        <v>405</v>
      </c>
      <c r="B1985" t="s">
        <v>614</v>
      </c>
      <c r="C1985" t="s">
        <v>246</v>
      </c>
      <c r="D1985" t="s">
        <v>155</v>
      </c>
      <c r="E1985">
        <v>29591</v>
      </c>
      <c r="F1985">
        <v>90.462920482999991</v>
      </c>
      <c r="G1985">
        <v>1772.5527277359997</v>
      </c>
      <c r="H1985">
        <v>45265</v>
      </c>
      <c r="L1985">
        <v>45265</v>
      </c>
    </row>
    <row r="1986" spans="1:12" x14ac:dyDescent="0.35">
      <c r="A1986" t="s">
        <v>428</v>
      </c>
      <c r="B1986" t="s">
        <v>497</v>
      </c>
      <c r="C1986" t="s">
        <v>246</v>
      </c>
      <c r="D1986" t="s">
        <v>155</v>
      </c>
      <c r="E1986">
        <v>1</v>
      </c>
      <c r="F1986">
        <v>0</v>
      </c>
      <c r="G1986">
        <v>0.08</v>
      </c>
      <c r="H1986">
        <v>44609</v>
      </c>
      <c r="L1986">
        <v>44609</v>
      </c>
    </row>
    <row r="1987" spans="1:12" x14ac:dyDescent="0.35">
      <c r="A1987" t="s">
        <v>428</v>
      </c>
      <c r="B1987" t="s">
        <v>502</v>
      </c>
      <c r="C1987" t="s">
        <v>246</v>
      </c>
      <c r="D1987" t="s">
        <v>155</v>
      </c>
      <c r="E1987">
        <v>21</v>
      </c>
      <c r="F1987">
        <v>0</v>
      </c>
      <c r="G1987">
        <v>1.4397</v>
      </c>
      <c r="H1987">
        <v>44679</v>
      </c>
      <c r="L1987">
        <v>44679</v>
      </c>
    </row>
    <row r="1988" spans="1:12" x14ac:dyDescent="0.35">
      <c r="A1988" t="s">
        <v>428</v>
      </c>
      <c r="B1988" t="s">
        <v>519</v>
      </c>
      <c r="C1988" t="s">
        <v>627</v>
      </c>
      <c r="D1988" t="s">
        <v>155</v>
      </c>
      <c r="E1988">
        <v>280</v>
      </c>
      <c r="F1988">
        <v>136.46</v>
      </c>
      <c r="G1988">
        <v>85.89</v>
      </c>
      <c r="H1988">
        <v>45681</v>
      </c>
      <c r="L1988">
        <v>45681</v>
      </c>
    </row>
    <row r="1989" spans="1:12" x14ac:dyDescent="0.35">
      <c r="A1989" t="s">
        <v>428</v>
      </c>
      <c r="B1989" t="s">
        <v>628</v>
      </c>
      <c r="C1989" t="s">
        <v>627</v>
      </c>
      <c r="D1989" t="s">
        <v>155</v>
      </c>
      <c r="E1989">
        <v>1511</v>
      </c>
      <c r="F1989">
        <v>2648.27</v>
      </c>
      <c r="G1989">
        <v>1336.61</v>
      </c>
      <c r="H1989">
        <v>45681</v>
      </c>
      <c r="L1989">
        <v>45681</v>
      </c>
    </row>
    <row r="1990" spans="1:12" x14ac:dyDescent="0.35">
      <c r="A1990" t="s">
        <v>564</v>
      </c>
      <c r="B1990" t="s">
        <v>629</v>
      </c>
      <c r="C1990" t="s">
        <v>302</v>
      </c>
      <c r="D1990" t="s">
        <v>155</v>
      </c>
      <c r="E1990">
        <v>10713</v>
      </c>
      <c r="F1990">
        <v>28070</v>
      </c>
      <c r="G1990">
        <v>14035</v>
      </c>
      <c r="H1990">
        <v>45278</v>
      </c>
      <c r="L1990">
        <v>45278</v>
      </c>
    </row>
    <row r="1991" spans="1:12" x14ac:dyDescent="0.35">
      <c r="A1991" t="s">
        <v>630</v>
      </c>
      <c r="B1991" t="s">
        <v>631</v>
      </c>
      <c r="C1991" t="s">
        <v>302</v>
      </c>
      <c r="D1991" t="s">
        <v>155</v>
      </c>
      <c r="E1991">
        <v>2780</v>
      </c>
      <c r="F1991">
        <v>6335</v>
      </c>
      <c r="G1991">
        <v>3168</v>
      </c>
      <c r="H1991">
        <v>45336</v>
      </c>
      <c r="L1991">
        <v>45336</v>
      </c>
    </row>
    <row r="1992" spans="1:12" x14ac:dyDescent="0.35">
      <c r="A1992" t="s">
        <v>575</v>
      </c>
      <c r="B1992" t="s">
        <v>632</v>
      </c>
      <c r="C1992" t="s">
        <v>302</v>
      </c>
      <c r="D1992" t="s">
        <v>155</v>
      </c>
      <c r="E1992">
        <v>75141</v>
      </c>
      <c r="F1992">
        <v>202372</v>
      </c>
      <c r="G1992">
        <v>101186</v>
      </c>
      <c r="H1992">
        <v>45337</v>
      </c>
      <c r="K1992" t="s">
        <v>633</v>
      </c>
      <c r="L1992">
        <v>45337</v>
      </c>
    </row>
    <row r="1993" spans="1:12" x14ac:dyDescent="0.35">
      <c r="A1993" t="s">
        <v>575</v>
      </c>
      <c r="B1993" t="s">
        <v>632</v>
      </c>
      <c r="C1993" t="s">
        <v>607</v>
      </c>
      <c r="D1993" t="s">
        <v>155</v>
      </c>
      <c r="E1993">
        <v>5</v>
      </c>
      <c r="F1993">
        <v>69</v>
      </c>
      <c r="G1993">
        <v>34</v>
      </c>
      <c r="H1993">
        <v>45337</v>
      </c>
      <c r="K1993" t="s">
        <v>633</v>
      </c>
      <c r="L1993">
        <v>45337</v>
      </c>
    </row>
    <row r="1994" spans="1:12" x14ac:dyDescent="0.35">
      <c r="A1994" t="s">
        <v>575</v>
      </c>
      <c r="B1994" t="s">
        <v>632</v>
      </c>
      <c r="C1994" t="s">
        <v>608</v>
      </c>
      <c r="D1994" t="s">
        <v>155</v>
      </c>
      <c r="E1994">
        <v>16</v>
      </c>
      <c r="F1994">
        <v>157</v>
      </c>
      <c r="G1994">
        <v>78</v>
      </c>
      <c r="H1994">
        <v>45337</v>
      </c>
      <c r="K1994" t="s">
        <v>633</v>
      </c>
      <c r="L1994">
        <v>45337</v>
      </c>
    </row>
    <row r="1995" spans="1:12" x14ac:dyDescent="0.35">
      <c r="A1995" t="s">
        <v>634</v>
      </c>
      <c r="B1995" t="s">
        <v>635</v>
      </c>
      <c r="C1995" t="s">
        <v>302</v>
      </c>
      <c r="D1995" t="s">
        <v>155</v>
      </c>
      <c r="E1995">
        <v>2316</v>
      </c>
      <c r="F1995">
        <v>5797</v>
      </c>
      <c r="G1995">
        <v>2898</v>
      </c>
      <c r="H1995">
        <v>45343</v>
      </c>
      <c r="L1995">
        <v>45343</v>
      </c>
    </row>
    <row r="1996" spans="1:12" x14ac:dyDescent="0.35">
      <c r="A1996" t="s">
        <v>636</v>
      </c>
      <c r="B1996" t="s">
        <v>637</v>
      </c>
      <c r="C1996" t="s">
        <v>302</v>
      </c>
      <c r="D1996" t="s">
        <v>155</v>
      </c>
      <c r="E1996">
        <v>314</v>
      </c>
      <c r="F1996">
        <v>852</v>
      </c>
      <c r="G1996">
        <v>426</v>
      </c>
      <c r="H1996">
        <v>45350</v>
      </c>
      <c r="K1996" t="s">
        <v>638</v>
      </c>
      <c r="L1996">
        <v>45350</v>
      </c>
    </row>
    <row r="1997" spans="1:12" x14ac:dyDescent="0.35">
      <c r="A1997" t="s">
        <v>564</v>
      </c>
      <c r="B1997" t="s">
        <v>631</v>
      </c>
      <c r="C1997" t="s">
        <v>302</v>
      </c>
      <c r="D1997" t="s">
        <v>155</v>
      </c>
      <c r="E1997">
        <v>8289</v>
      </c>
      <c r="F1997">
        <v>90731</v>
      </c>
      <c r="G1997">
        <v>45365</v>
      </c>
      <c r="H1997">
        <v>45355</v>
      </c>
      <c r="K1997" t="s">
        <v>639</v>
      </c>
      <c r="L1997">
        <v>45355</v>
      </c>
    </row>
    <row r="1998" spans="1:12" x14ac:dyDescent="0.35">
      <c r="A1998" t="s">
        <v>587</v>
      </c>
      <c r="B1998" t="s">
        <v>640</v>
      </c>
      <c r="C1998" t="s">
        <v>302</v>
      </c>
      <c r="D1998" t="s">
        <v>155</v>
      </c>
      <c r="E1998">
        <v>75133</v>
      </c>
      <c r="F1998">
        <v>195042</v>
      </c>
      <c r="G1998">
        <v>97521</v>
      </c>
      <c r="H1998">
        <v>45355</v>
      </c>
      <c r="K1998" t="s">
        <v>641</v>
      </c>
      <c r="L1998">
        <v>45356</v>
      </c>
    </row>
    <row r="1999" spans="1:12" x14ac:dyDescent="0.35">
      <c r="A1999" t="s">
        <v>642</v>
      </c>
      <c r="B1999" t="s">
        <v>631</v>
      </c>
      <c r="C1999" t="s">
        <v>302</v>
      </c>
      <c r="D1999" t="s">
        <v>155</v>
      </c>
      <c r="E1999">
        <v>457</v>
      </c>
      <c r="F1999">
        <v>1001</v>
      </c>
      <c r="G1999">
        <v>500</v>
      </c>
      <c r="H1999">
        <v>45355</v>
      </c>
      <c r="L1999">
        <v>45356</v>
      </c>
    </row>
    <row r="2000" spans="1:12" x14ac:dyDescent="0.35">
      <c r="A2000" t="s">
        <v>450</v>
      </c>
      <c r="B2000" t="s">
        <v>643</v>
      </c>
      <c r="C2000" t="s">
        <v>302</v>
      </c>
      <c r="D2000" t="s">
        <v>155</v>
      </c>
      <c r="E2000">
        <v>8279</v>
      </c>
      <c r="F2000">
        <v>21302</v>
      </c>
      <c r="G2000">
        <v>10651</v>
      </c>
      <c r="H2000">
        <v>45356</v>
      </c>
      <c r="L2000">
        <v>45356</v>
      </c>
    </row>
    <row r="2001" spans="1:12" x14ac:dyDescent="0.35">
      <c r="A2001" t="s">
        <v>450</v>
      </c>
      <c r="B2001" t="s">
        <v>644</v>
      </c>
      <c r="C2001" t="s">
        <v>246</v>
      </c>
      <c r="D2001" t="s">
        <v>155</v>
      </c>
      <c r="E2001">
        <v>24978</v>
      </c>
      <c r="F2001">
        <v>0</v>
      </c>
      <c r="G2001">
        <v>1819</v>
      </c>
      <c r="H2001">
        <v>45356</v>
      </c>
      <c r="L2001">
        <v>45356</v>
      </c>
    </row>
    <row r="2002" spans="1:12" x14ac:dyDescent="0.35">
      <c r="A2002" t="s">
        <v>645</v>
      </c>
      <c r="B2002" t="s">
        <v>646</v>
      </c>
      <c r="C2002" t="s">
        <v>302</v>
      </c>
      <c r="D2002" t="s">
        <v>155</v>
      </c>
      <c r="E2002">
        <v>1436</v>
      </c>
      <c r="F2002">
        <v>3223</v>
      </c>
      <c r="G2002">
        <v>1611</v>
      </c>
      <c r="H2002">
        <v>45357</v>
      </c>
      <c r="L2002">
        <v>45357</v>
      </c>
    </row>
    <row r="2003" spans="1:12" x14ac:dyDescent="0.35">
      <c r="A2003" t="s">
        <v>647</v>
      </c>
      <c r="B2003" t="s">
        <v>648</v>
      </c>
      <c r="C2003" t="s">
        <v>302</v>
      </c>
      <c r="D2003" t="s">
        <v>155</v>
      </c>
      <c r="E2003">
        <v>14128</v>
      </c>
      <c r="F2003">
        <v>37943</v>
      </c>
      <c r="G2003">
        <v>18972</v>
      </c>
      <c r="H2003">
        <v>45370</v>
      </c>
      <c r="L2003">
        <v>45370</v>
      </c>
    </row>
    <row r="2004" spans="1:12" x14ac:dyDescent="0.35">
      <c r="A2004" t="s">
        <v>574</v>
      </c>
      <c r="B2004" t="s">
        <v>646</v>
      </c>
      <c r="C2004" t="s">
        <v>302</v>
      </c>
      <c r="D2004" t="s">
        <v>155</v>
      </c>
      <c r="E2004">
        <v>182528</v>
      </c>
      <c r="F2004">
        <v>410327</v>
      </c>
      <c r="G2004">
        <v>266713</v>
      </c>
      <c r="H2004">
        <v>45370</v>
      </c>
      <c r="L2004">
        <v>45370</v>
      </c>
    </row>
    <row r="2005" spans="1:12" x14ac:dyDescent="0.35">
      <c r="A2005" t="s">
        <v>649</v>
      </c>
      <c r="B2005" t="s">
        <v>576</v>
      </c>
      <c r="C2005" t="s">
        <v>302</v>
      </c>
      <c r="D2005" t="s">
        <v>155</v>
      </c>
      <c r="E2005">
        <v>19457</v>
      </c>
      <c r="F2005">
        <v>67977</v>
      </c>
      <c r="G2005">
        <v>40786</v>
      </c>
      <c r="H2005">
        <v>45370</v>
      </c>
      <c r="L2005">
        <v>45370</v>
      </c>
    </row>
    <row r="2006" spans="1:12" x14ac:dyDescent="0.35">
      <c r="A2006" t="s">
        <v>649</v>
      </c>
      <c r="B2006" t="s">
        <v>650</v>
      </c>
      <c r="C2006" t="s">
        <v>302</v>
      </c>
      <c r="D2006" t="s">
        <v>155</v>
      </c>
      <c r="E2006">
        <v>47691</v>
      </c>
      <c r="F2006">
        <v>137374</v>
      </c>
      <c r="G2006">
        <v>82425</v>
      </c>
      <c r="H2006">
        <v>45370</v>
      </c>
      <c r="L2006">
        <v>45370</v>
      </c>
    </row>
    <row r="2007" spans="1:12" x14ac:dyDescent="0.35">
      <c r="A2007" t="s">
        <v>388</v>
      </c>
      <c r="B2007" t="s">
        <v>583</v>
      </c>
      <c r="C2007" t="s">
        <v>302</v>
      </c>
      <c r="D2007" t="s">
        <v>155</v>
      </c>
      <c r="E2007">
        <v>3602</v>
      </c>
      <c r="F2007">
        <v>11822</v>
      </c>
      <c r="G2007">
        <v>5911</v>
      </c>
      <c r="H2007">
        <v>45372</v>
      </c>
      <c r="K2007" t="s">
        <v>651</v>
      </c>
      <c r="L2007">
        <v>45373</v>
      </c>
    </row>
    <row r="2008" spans="1:12" x14ac:dyDescent="0.35">
      <c r="A2008" t="s">
        <v>388</v>
      </c>
      <c r="B2008" t="s">
        <v>583</v>
      </c>
      <c r="C2008" t="s">
        <v>561</v>
      </c>
      <c r="D2008" t="s">
        <v>155</v>
      </c>
      <c r="E2008">
        <v>169</v>
      </c>
      <c r="F2008">
        <v>3</v>
      </c>
      <c r="G2008">
        <v>10</v>
      </c>
      <c r="H2008">
        <v>45372</v>
      </c>
      <c r="K2008" t="s">
        <v>651</v>
      </c>
      <c r="L2008">
        <v>45373</v>
      </c>
    </row>
    <row r="2009" spans="1:12" x14ac:dyDescent="0.35">
      <c r="A2009" t="s">
        <v>388</v>
      </c>
      <c r="B2009" t="s">
        <v>652</v>
      </c>
      <c r="C2009" t="s">
        <v>302</v>
      </c>
      <c r="D2009" t="s">
        <v>155</v>
      </c>
      <c r="E2009">
        <v>16575</v>
      </c>
      <c r="F2009">
        <v>42917</v>
      </c>
      <c r="G2009">
        <v>21459</v>
      </c>
      <c r="H2009">
        <v>45372</v>
      </c>
      <c r="K2009" t="s">
        <v>653</v>
      </c>
      <c r="L2009">
        <v>45373</v>
      </c>
    </row>
    <row r="2010" spans="1:12" x14ac:dyDescent="0.35">
      <c r="A2010" t="s">
        <v>388</v>
      </c>
      <c r="B2010" t="s">
        <v>650</v>
      </c>
      <c r="C2010" t="s">
        <v>561</v>
      </c>
      <c r="D2010" t="s">
        <v>155</v>
      </c>
      <c r="E2010">
        <v>246</v>
      </c>
      <c r="F2010">
        <v>5</v>
      </c>
      <c r="G2010">
        <v>17</v>
      </c>
      <c r="H2010">
        <v>45372</v>
      </c>
      <c r="K2010" t="s">
        <v>653</v>
      </c>
      <c r="L2010">
        <v>45373</v>
      </c>
    </row>
    <row r="2011" spans="1:12" x14ac:dyDescent="0.35">
      <c r="A2011" t="s">
        <v>654</v>
      </c>
      <c r="B2011" t="s">
        <v>655</v>
      </c>
      <c r="C2011" t="s">
        <v>302</v>
      </c>
      <c r="D2011" t="s">
        <v>155</v>
      </c>
      <c r="E2011">
        <v>1821</v>
      </c>
      <c r="F2011">
        <v>1862</v>
      </c>
      <c r="G2011">
        <v>931</v>
      </c>
      <c r="H2011">
        <v>45398</v>
      </c>
      <c r="K2011" t="s">
        <v>656</v>
      </c>
      <c r="L2011">
        <v>45398</v>
      </c>
    </row>
    <row r="2012" spans="1:12" x14ac:dyDescent="0.35">
      <c r="A2012" t="s">
        <v>654</v>
      </c>
      <c r="B2012" t="s">
        <v>657</v>
      </c>
      <c r="C2012" t="s">
        <v>302</v>
      </c>
      <c r="D2012" t="s">
        <v>155</v>
      </c>
      <c r="E2012">
        <v>6670</v>
      </c>
      <c r="F2012">
        <v>16512</v>
      </c>
      <c r="G2012">
        <v>8256</v>
      </c>
      <c r="H2012">
        <v>45398</v>
      </c>
      <c r="K2012" t="s">
        <v>653</v>
      </c>
      <c r="L2012">
        <v>45398</v>
      </c>
    </row>
    <row r="2013" spans="1:12" x14ac:dyDescent="0.35">
      <c r="A2013" t="s">
        <v>574</v>
      </c>
      <c r="B2013" t="s">
        <v>658</v>
      </c>
      <c r="C2013" t="s">
        <v>302</v>
      </c>
      <c r="D2013" t="s">
        <v>155</v>
      </c>
      <c r="E2013">
        <v>241240</v>
      </c>
      <c r="F2013">
        <v>597778</v>
      </c>
      <c r="G2013">
        <v>388555</v>
      </c>
      <c r="H2013">
        <v>45406</v>
      </c>
      <c r="K2013" t="s">
        <v>659</v>
      </c>
      <c r="L2013">
        <v>45406</v>
      </c>
    </row>
    <row r="2014" spans="1:12" x14ac:dyDescent="0.35">
      <c r="A2014" t="s">
        <v>599</v>
      </c>
      <c r="B2014" t="s">
        <v>660</v>
      </c>
      <c r="C2014" t="s">
        <v>302</v>
      </c>
      <c r="D2014" t="s">
        <v>155</v>
      </c>
      <c r="E2014">
        <v>32186</v>
      </c>
      <c r="F2014">
        <v>94013</v>
      </c>
      <c r="G2014">
        <v>47006</v>
      </c>
      <c r="H2014">
        <v>45406</v>
      </c>
      <c r="K2014" t="s">
        <v>661</v>
      </c>
      <c r="L2014">
        <v>45406</v>
      </c>
    </row>
    <row r="2015" spans="1:12" x14ac:dyDescent="0.35">
      <c r="A2015" t="s">
        <v>662</v>
      </c>
      <c r="B2015" t="s">
        <v>628</v>
      </c>
      <c r="C2015" t="s">
        <v>302</v>
      </c>
      <c r="D2015" t="s">
        <v>155</v>
      </c>
      <c r="E2015">
        <v>12587</v>
      </c>
      <c r="F2015">
        <v>52473.338037050009</v>
      </c>
      <c r="G2015">
        <v>26236.669019742003</v>
      </c>
      <c r="H2015">
        <v>45439</v>
      </c>
      <c r="K2015" t="s">
        <v>663</v>
      </c>
      <c r="L2015">
        <v>45439</v>
      </c>
    </row>
    <row r="2016" spans="1:12" x14ac:dyDescent="0.35">
      <c r="A2016" t="s">
        <v>664</v>
      </c>
      <c r="B2016" t="s">
        <v>665</v>
      </c>
      <c r="C2016" t="s">
        <v>302</v>
      </c>
      <c r="D2016" t="s">
        <v>155</v>
      </c>
      <c r="E2016">
        <v>1780</v>
      </c>
      <c r="F2016">
        <v>5090</v>
      </c>
      <c r="G2016">
        <v>2545</v>
      </c>
      <c r="H2016">
        <v>45425</v>
      </c>
      <c r="L2016">
        <v>45425</v>
      </c>
    </row>
    <row r="2017" spans="1:12" x14ac:dyDescent="0.35">
      <c r="A2017" t="s">
        <v>574</v>
      </c>
      <c r="B2017" t="s">
        <v>666</v>
      </c>
      <c r="C2017" t="s">
        <v>302</v>
      </c>
      <c r="D2017" t="s">
        <v>155</v>
      </c>
      <c r="E2017">
        <v>65543</v>
      </c>
      <c r="F2017">
        <v>162367.19275659966</v>
      </c>
      <c r="G2017">
        <v>105538.67529866305</v>
      </c>
      <c r="H2017">
        <v>45448</v>
      </c>
      <c r="L2017">
        <v>45448</v>
      </c>
    </row>
    <row r="2018" spans="1:12" x14ac:dyDescent="0.35">
      <c r="A2018" t="s">
        <v>634</v>
      </c>
      <c r="B2018" t="s">
        <v>667</v>
      </c>
      <c r="C2018" t="s">
        <v>302</v>
      </c>
      <c r="D2018" t="s">
        <v>155</v>
      </c>
      <c r="E2018">
        <v>2991</v>
      </c>
      <c r="F2018">
        <v>8208</v>
      </c>
      <c r="G2018">
        <v>4104</v>
      </c>
      <c r="H2018">
        <v>45455</v>
      </c>
      <c r="L2018">
        <v>45455</v>
      </c>
    </row>
    <row r="2019" spans="1:12" x14ac:dyDescent="0.35">
      <c r="A2019" t="s">
        <v>575</v>
      </c>
      <c r="B2019" t="s">
        <v>668</v>
      </c>
      <c r="C2019" t="s">
        <v>302</v>
      </c>
      <c r="D2019" t="s">
        <v>155</v>
      </c>
      <c r="E2019">
        <v>89238</v>
      </c>
      <c r="F2019">
        <v>347244.61781201675</v>
      </c>
      <c r="G2019">
        <v>173622.30890767972</v>
      </c>
      <c r="H2019">
        <v>45463</v>
      </c>
      <c r="K2019" t="s">
        <v>669</v>
      </c>
      <c r="L2019">
        <v>45463</v>
      </c>
    </row>
    <row r="2020" spans="1:12" x14ac:dyDescent="0.35">
      <c r="A2020" t="s">
        <v>575</v>
      </c>
      <c r="B2020" t="s">
        <v>670</v>
      </c>
      <c r="C2020" t="s">
        <v>246</v>
      </c>
      <c r="D2020" t="s">
        <v>155</v>
      </c>
      <c r="E2020">
        <v>13029</v>
      </c>
      <c r="F2020">
        <v>0</v>
      </c>
      <c r="G2020">
        <v>2500.0319182964931</v>
      </c>
      <c r="H2020">
        <v>45463</v>
      </c>
      <c r="K2020" t="s">
        <v>669</v>
      </c>
      <c r="L2020">
        <v>45463</v>
      </c>
    </row>
    <row r="2021" spans="1:12" x14ac:dyDescent="0.35">
      <c r="A2021" t="s">
        <v>575</v>
      </c>
      <c r="B2021" t="s">
        <v>668</v>
      </c>
      <c r="C2021" t="s">
        <v>236</v>
      </c>
      <c r="D2021" t="s">
        <v>155</v>
      </c>
      <c r="E2021">
        <v>109273</v>
      </c>
      <c r="F2021">
        <v>3265.6217868023878</v>
      </c>
      <c r="G2021">
        <v>1632.8108934011952</v>
      </c>
      <c r="H2021">
        <v>45463</v>
      </c>
      <c r="K2021" t="s">
        <v>669</v>
      </c>
      <c r="L2021">
        <v>45463</v>
      </c>
    </row>
    <row r="2022" spans="1:12" x14ac:dyDescent="0.35">
      <c r="A2022" t="s">
        <v>575</v>
      </c>
      <c r="B2022" t="s">
        <v>668</v>
      </c>
      <c r="C2022" t="s">
        <v>671</v>
      </c>
      <c r="D2022" t="s">
        <v>155</v>
      </c>
      <c r="E2022">
        <v>156</v>
      </c>
      <c r="F2022">
        <v>4186.5976909000001</v>
      </c>
      <c r="G2022">
        <v>2093.29884554</v>
      </c>
      <c r="H2022">
        <v>45463</v>
      </c>
      <c r="K2022" t="s">
        <v>669</v>
      </c>
      <c r="L2022">
        <v>45463</v>
      </c>
    </row>
    <row r="2023" spans="1:12" x14ac:dyDescent="0.35">
      <c r="A2023" t="s">
        <v>575</v>
      </c>
      <c r="B2023" t="s">
        <v>668</v>
      </c>
      <c r="C2023" t="s">
        <v>672</v>
      </c>
      <c r="D2023" t="s">
        <v>155</v>
      </c>
      <c r="E2023">
        <v>4</v>
      </c>
      <c r="F2023">
        <v>55.379999999999995</v>
      </c>
      <c r="G2023">
        <v>27.69</v>
      </c>
      <c r="H2023">
        <v>45463</v>
      </c>
      <c r="K2023" t="s">
        <v>669</v>
      </c>
      <c r="L2023">
        <v>45463</v>
      </c>
    </row>
    <row r="2024" spans="1:12" x14ac:dyDescent="0.35">
      <c r="A2024" t="s">
        <v>575</v>
      </c>
      <c r="B2024" t="s">
        <v>668</v>
      </c>
      <c r="C2024" t="s">
        <v>608</v>
      </c>
      <c r="D2024" t="s">
        <v>155</v>
      </c>
      <c r="E2024">
        <v>18</v>
      </c>
      <c r="F2024">
        <v>180.76</v>
      </c>
      <c r="G2024">
        <v>90.38</v>
      </c>
      <c r="H2024">
        <v>45463</v>
      </c>
      <c r="K2024" t="s">
        <v>669</v>
      </c>
      <c r="L2024">
        <v>45463</v>
      </c>
    </row>
    <row r="2025" spans="1:12" x14ac:dyDescent="0.35">
      <c r="A2025" t="s">
        <v>673</v>
      </c>
      <c r="B2025" t="s">
        <v>674</v>
      </c>
      <c r="C2025" t="s">
        <v>302</v>
      </c>
      <c r="D2025" t="s">
        <v>155</v>
      </c>
      <c r="E2025">
        <v>23132</v>
      </c>
      <c r="F2025">
        <v>67324</v>
      </c>
      <c r="G2025">
        <v>33662</v>
      </c>
      <c r="H2025">
        <v>45467</v>
      </c>
      <c r="L2025">
        <v>45467</v>
      </c>
    </row>
    <row r="2026" spans="1:12" x14ac:dyDescent="0.35">
      <c r="A2026" t="s">
        <v>645</v>
      </c>
      <c r="B2026" t="s">
        <v>675</v>
      </c>
      <c r="C2026" t="s">
        <v>302</v>
      </c>
      <c r="D2026" t="s">
        <v>155</v>
      </c>
      <c r="E2026">
        <v>2418</v>
      </c>
      <c r="F2026">
        <v>10585</v>
      </c>
      <c r="G2026">
        <v>5293</v>
      </c>
      <c r="H2026">
        <v>45470</v>
      </c>
      <c r="L2026">
        <v>45470</v>
      </c>
    </row>
    <row r="2027" spans="1:12" x14ac:dyDescent="0.35">
      <c r="A2027" t="s">
        <v>400</v>
      </c>
      <c r="B2027" t="s">
        <v>628</v>
      </c>
      <c r="C2027" t="s">
        <v>302</v>
      </c>
      <c r="D2027" t="s">
        <v>155</v>
      </c>
      <c r="E2027">
        <v>21338</v>
      </c>
      <c r="F2027">
        <v>55566</v>
      </c>
      <c r="G2027">
        <v>36118</v>
      </c>
      <c r="H2027">
        <v>45470</v>
      </c>
      <c r="L2027">
        <v>45470</v>
      </c>
    </row>
    <row r="2028" spans="1:12" x14ac:dyDescent="0.35">
      <c r="A2028" t="s">
        <v>602</v>
      </c>
      <c r="B2028" t="s">
        <v>676</v>
      </c>
      <c r="C2028" t="s">
        <v>302</v>
      </c>
      <c r="D2028" t="s">
        <v>155</v>
      </c>
      <c r="E2028">
        <v>4972</v>
      </c>
      <c r="F2028">
        <v>15741.208822450953</v>
      </c>
      <c r="G2028">
        <v>7870.6044111790015</v>
      </c>
      <c r="H2028">
        <v>45726</v>
      </c>
      <c r="L2028">
        <v>45726</v>
      </c>
    </row>
    <row r="2029" spans="1:12" x14ac:dyDescent="0.35">
      <c r="A2029" t="s">
        <v>478</v>
      </c>
      <c r="B2029" t="s">
        <v>677</v>
      </c>
      <c r="C2029" t="s">
        <v>627</v>
      </c>
      <c r="D2029" t="s">
        <v>155</v>
      </c>
      <c r="E2029">
        <v>336807</v>
      </c>
      <c r="F2029">
        <v>19583.82766706463</v>
      </c>
      <c r="G2029">
        <v>9801.8356825208193</v>
      </c>
      <c r="L2029">
        <v>45485</v>
      </c>
    </row>
    <row r="2030" spans="1:12" x14ac:dyDescent="0.35">
      <c r="A2030" t="s">
        <v>555</v>
      </c>
      <c r="B2030" t="s">
        <v>678</v>
      </c>
      <c r="C2030" t="s">
        <v>627</v>
      </c>
      <c r="D2030" t="s">
        <v>155</v>
      </c>
      <c r="E2030">
        <v>24785</v>
      </c>
      <c r="F2030">
        <v>78647.828131426693</v>
      </c>
      <c r="G2030">
        <v>39323.91406662896</v>
      </c>
      <c r="H2030">
        <v>45498</v>
      </c>
      <c r="L2030">
        <v>45498</v>
      </c>
    </row>
    <row r="2031" spans="1:12" x14ac:dyDescent="0.35">
      <c r="A2031" t="s">
        <v>654</v>
      </c>
      <c r="B2031" t="s">
        <v>675</v>
      </c>
      <c r="C2031" t="s">
        <v>302</v>
      </c>
      <c r="D2031" t="s">
        <v>155</v>
      </c>
      <c r="E2031">
        <v>2680</v>
      </c>
      <c r="F2031">
        <v>9754</v>
      </c>
      <c r="G2031">
        <v>4877</v>
      </c>
      <c r="H2031">
        <v>45537</v>
      </c>
      <c r="K2031" t="s">
        <v>679</v>
      </c>
      <c r="L2031">
        <v>45537</v>
      </c>
    </row>
    <row r="2032" spans="1:12" x14ac:dyDescent="0.35">
      <c r="A2032" t="s">
        <v>680</v>
      </c>
      <c r="B2032" t="s">
        <v>681</v>
      </c>
      <c r="C2032" t="s">
        <v>302</v>
      </c>
      <c r="D2032" t="s">
        <v>155</v>
      </c>
      <c r="E2032">
        <v>3445</v>
      </c>
      <c r="F2032">
        <v>19797.714786977998</v>
      </c>
      <c r="G2032">
        <v>9898.8573950449991</v>
      </c>
      <c r="H2032">
        <v>45537</v>
      </c>
      <c r="K2032" t="s">
        <v>679</v>
      </c>
      <c r="L2032">
        <v>45537</v>
      </c>
    </row>
    <row r="2033" spans="1:12" x14ac:dyDescent="0.35">
      <c r="A2033" t="s">
        <v>601</v>
      </c>
      <c r="B2033" t="s">
        <v>682</v>
      </c>
      <c r="C2033" t="s">
        <v>302</v>
      </c>
      <c r="D2033" t="s">
        <v>155</v>
      </c>
      <c r="E2033">
        <v>10315</v>
      </c>
      <c r="F2033">
        <v>30359.246058524961</v>
      </c>
      <c r="G2033">
        <v>15179.623028215967</v>
      </c>
      <c r="H2033">
        <v>45544</v>
      </c>
      <c r="L2033">
        <v>45544</v>
      </c>
    </row>
    <row r="2034" spans="1:12" x14ac:dyDescent="0.35">
      <c r="A2034" t="s">
        <v>683</v>
      </c>
      <c r="B2034" t="s">
        <v>684</v>
      </c>
      <c r="C2034" t="s">
        <v>302</v>
      </c>
      <c r="D2034" t="s">
        <v>155</v>
      </c>
      <c r="E2034">
        <v>370</v>
      </c>
      <c r="F2034">
        <v>1789</v>
      </c>
      <c r="G2034">
        <v>895</v>
      </c>
      <c r="H2034">
        <v>45548</v>
      </c>
      <c r="L2034">
        <v>45548</v>
      </c>
    </row>
    <row r="2035" spans="1:12" x14ac:dyDescent="0.35">
      <c r="A2035" t="s">
        <v>685</v>
      </c>
      <c r="B2035" t="s">
        <v>678</v>
      </c>
      <c r="C2035" t="s">
        <v>302</v>
      </c>
      <c r="D2035" t="s">
        <v>155</v>
      </c>
      <c r="E2035">
        <v>53340</v>
      </c>
      <c r="F2035">
        <v>146819.4957888209</v>
      </c>
      <c r="G2035">
        <v>73409.747894858971</v>
      </c>
      <c r="H2035">
        <v>45551</v>
      </c>
      <c r="L2035">
        <v>45551</v>
      </c>
    </row>
    <row r="2036" spans="1:12" x14ac:dyDescent="0.35">
      <c r="A2036" t="s">
        <v>647</v>
      </c>
      <c r="B2036" t="s">
        <v>686</v>
      </c>
      <c r="C2036" t="s">
        <v>302</v>
      </c>
      <c r="D2036" t="s">
        <v>155</v>
      </c>
      <c r="E2036">
        <v>9634</v>
      </c>
      <c r="F2036">
        <v>35791.439412582891</v>
      </c>
      <c r="G2036">
        <v>17895.714706137991</v>
      </c>
      <c r="H2036">
        <v>45574</v>
      </c>
      <c r="L2036">
        <v>45574</v>
      </c>
    </row>
    <row r="2037" spans="1:12" x14ac:dyDescent="0.35">
      <c r="A2037" t="s">
        <v>687</v>
      </c>
      <c r="B2037" t="s">
        <v>688</v>
      </c>
      <c r="C2037" t="s">
        <v>302</v>
      </c>
      <c r="D2037" t="s">
        <v>155</v>
      </c>
      <c r="E2037">
        <v>1953</v>
      </c>
      <c r="F2037">
        <v>10836.43</v>
      </c>
      <c r="G2037">
        <v>5418.16</v>
      </c>
      <c r="H2037">
        <v>45637</v>
      </c>
      <c r="L2037">
        <v>45637</v>
      </c>
    </row>
    <row r="2038" spans="1:12" x14ac:dyDescent="0.35">
      <c r="A2038" t="s">
        <v>687</v>
      </c>
      <c r="B2038" t="s">
        <v>689</v>
      </c>
      <c r="C2038" t="s">
        <v>302</v>
      </c>
      <c r="D2038" t="s">
        <v>155</v>
      </c>
      <c r="E2038">
        <v>1958</v>
      </c>
      <c r="F2038">
        <v>10862.87</v>
      </c>
      <c r="G2038">
        <v>5431.39</v>
      </c>
      <c r="H2038">
        <v>45637</v>
      </c>
      <c r="K2038" t="s">
        <v>690</v>
      </c>
      <c r="L2038">
        <v>45637</v>
      </c>
    </row>
    <row r="2039" spans="1:12" x14ac:dyDescent="0.35">
      <c r="A2039" t="s">
        <v>574</v>
      </c>
      <c r="B2039" t="s">
        <v>689</v>
      </c>
      <c r="C2039" t="s">
        <v>302</v>
      </c>
      <c r="D2039" t="s">
        <v>155</v>
      </c>
      <c r="E2039">
        <v>234552</v>
      </c>
      <c r="F2039">
        <v>437786.15832275269</v>
      </c>
      <c r="G2039">
        <v>284560.67999999959</v>
      </c>
      <c r="H2039">
        <v>45632</v>
      </c>
      <c r="L2039">
        <v>45632</v>
      </c>
    </row>
    <row r="2040" spans="1:12" x14ac:dyDescent="0.35">
      <c r="A2040" t="s">
        <v>575</v>
      </c>
      <c r="B2040" t="s">
        <v>689</v>
      </c>
      <c r="C2040" t="s">
        <v>302</v>
      </c>
      <c r="D2040" t="s">
        <v>155</v>
      </c>
      <c r="E2040">
        <v>108190</v>
      </c>
      <c r="F2040">
        <v>516294.95634661469</v>
      </c>
      <c r="G2040">
        <v>260210.34136640464</v>
      </c>
      <c r="H2040">
        <v>45643</v>
      </c>
      <c r="K2040" t="s">
        <v>690</v>
      </c>
      <c r="L2040">
        <v>45643</v>
      </c>
    </row>
    <row r="2041" spans="1:12" x14ac:dyDescent="0.35">
      <c r="A2041" t="s">
        <v>564</v>
      </c>
      <c r="B2041" t="s">
        <v>686</v>
      </c>
      <c r="C2041" t="s">
        <v>302</v>
      </c>
      <c r="D2041" t="s">
        <v>155</v>
      </c>
      <c r="E2041">
        <v>28529</v>
      </c>
      <c r="F2041">
        <v>103865</v>
      </c>
      <c r="G2041">
        <v>51932.5</v>
      </c>
      <c r="H2041">
        <v>45439</v>
      </c>
      <c r="K2041" t="s">
        <v>691</v>
      </c>
      <c r="L2041">
        <v>45439</v>
      </c>
    </row>
    <row r="2042" spans="1:12" x14ac:dyDescent="0.35">
      <c r="A2042" t="s">
        <v>564</v>
      </c>
      <c r="B2042" t="s">
        <v>689</v>
      </c>
      <c r="C2042" t="s">
        <v>302</v>
      </c>
      <c r="D2042" t="s">
        <v>155</v>
      </c>
      <c r="E2042">
        <v>117057</v>
      </c>
      <c r="F2042">
        <v>313154.74</v>
      </c>
      <c r="G2042">
        <v>156712.57999999999</v>
      </c>
      <c r="H2042">
        <v>45644</v>
      </c>
      <c r="K2042" t="s">
        <v>692</v>
      </c>
      <c r="L2042">
        <v>45644</v>
      </c>
    </row>
    <row r="2043" spans="1:12" x14ac:dyDescent="0.35">
      <c r="A2043" t="s">
        <v>630</v>
      </c>
      <c r="B2043" t="s">
        <v>675</v>
      </c>
      <c r="C2043" t="s">
        <v>302</v>
      </c>
      <c r="D2043" t="s">
        <v>155</v>
      </c>
      <c r="E2043">
        <v>583</v>
      </c>
      <c r="F2043">
        <v>2247.7199999999998</v>
      </c>
      <c r="G2043">
        <v>1123.8599999999999</v>
      </c>
      <c r="H2043">
        <v>45617</v>
      </c>
      <c r="L2043">
        <v>45617</v>
      </c>
    </row>
    <row r="2044" spans="1:12" x14ac:dyDescent="0.35">
      <c r="A2044" t="s">
        <v>630</v>
      </c>
      <c r="B2044" t="s">
        <v>693</v>
      </c>
      <c r="C2044" t="s">
        <v>302</v>
      </c>
      <c r="D2044" t="s">
        <v>155</v>
      </c>
      <c r="E2044">
        <v>3358</v>
      </c>
      <c r="F2044">
        <v>19302.39</v>
      </c>
      <c r="G2044">
        <v>9651.18</v>
      </c>
      <c r="H2044">
        <v>45645</v>
      </c>
      <c r="K2044" t="s">
        <v>692</v>
      </c>
      <c r="L2044">
        <v>45645</v>
      </c>
    </row>
    <row r="2045" spans="1:12" x14ac:dyDescent="0.35">
      <c r="A2045" t="s">
        <v>649</v>
      </c>
      <c r="B2045" t="s">
        <v>686</v>
      </c>
      <c r="C2045" t="s">
        <v>302</v>
      </c>
      <c r="D2045" t="s">
        <v>155</v>
      </c>
      <c r="E2045">
        <v>14510</v>
      </c>
      <c r="F2045">
        <v>48864.92</v>
      </c>
      <c r="G2045">
        <v>29318.95</v>
      </c>
      <c r="H2045">
        <v>45645</v>
      </c>
      <c r="L2045">
        <v>45645</v>
      </c>
    </row>
    <row r="2046" spans="1:12" x14ac:dyDescent="0.35">
      <c r="A2046" t="s">
        <v>649</v>
      </c>
      <c r="B2046" t="s">
        <v>689</v>
      </c>
      <c r="C2046" t="s">
        <v>302</v>
      </c>
      <c r="D2046" t="s">
        <v>155</v>
      </c>
      <c r="E2046">
        <v>3513</v>
      </c>
      <c r="F2046">
        <v>21219.45</v>
      </c>
      <c r="G2046">
        <v>12731.55</v>
      </c>
      <c r="H2046">
        <v>45645</v>
      </c>
      <c r="L2046">
        <v>45645</v>
      </c>
    </row>
    <row r="2047" spans="1:12" x14ac:dyDescent="0.35">
      <c r="A2047" t="s">
        <v>580</v>
      </c>
      <c r="B2047" t="s">
        <v>628</v>
      </c>
      <c r="C2047" t="s">
        <v>302</v>
      </c>
      <c r="D2047" t="s">
        <v>155</v>
      </c>
      <c r="E2047">
        <v>68600</v>
      </c>
      <c r="F2047">
        <v>55967.82</v>
      </c>
      <c r="G2047">
        <v>30800.54</v>
      </c>
      <c r="H2047">
        <v>45646</v>
      </c>
      <c r="L2047">
        <v>45646</v>
      </c>
    </row>
    <row r="2048" spans="1:12" x14ac:dyDescent="0.35">
      <c r="A2048" t="s">
        <v>580</v>
      </c>
      <c r="B2048" t="s">
        <v>689</v>
      </c>
      <c r="C2048" t="s">
        <v>302</v>
      </c>
      <c r="D2048" t="s">
        <v>155</v>
      </c>
      <c r="E2048">
        <v>7926</v>
      </c>
      <c r="F2048">
        <v>36417.51</v>
      </c>
      <c r="G2048">
        <v>18584.16</v>
      </c>
      <c r="H2048">
        <v>45646</v>
      </c>
      <c r="L2048">
        <v>45646</v>
      </c>
    </row>
    <row r="2049" spans="1:12" x14ac:dyDescent="0.35">
      <c r="A2049" t="s">
        <v>662</v>
      </c>
      <c r="B2049" t="s">
        <v>689</v>
      </c>
      <c r="C2049" t="s">
        <v>302</v>
      </c>
      <c r="D2049" t="s">
        <v>155</v>
      </c>
      <c r="E2049">
        <v>26339</v>
      </c>
      <c r="F2049">
        <v>139930.93</v>
      </c>
      <c r="G2049">
        <v>69965.42</v>
      </c>
      <c r="H2049">
        <v>45646</v>
      </c>
      <c r="K2049" t="s">
        <v>690</v>
      </c>
      <c r="L2049">
        <v>45646</v>
      </c>
    </row>
    <row r="2050" spans="1:12" x14ac:dyDescent="0.35">
      <c r="A2050" t="s">
        <v>602</v>
      </c>
      <c r="B2050" t="s">
        <v>693</v>
      </c>
      <c r="C2050" t="s">
        <v>302</v>
      </c>
      <c r="D2050" t="s">
        <v>155</v>
      </c>
      <c r="E2050">
        <v>3495</v>
      </c>
      <c r="F2050">
        <v>16611.09</v>
      </c>
      <c r="G2050">
        <v>8305.5499999999993</v>
      </c>
      <c r="H2050">
        <v>45666</v>
      </c>
      <c r="L2050">
        <v>45666</v>
      </c>
    </row>
    <row r="2051" spans="1:12" x14ac:dyDescent="0.35">
      <c r="A2051" t="s">
        <v>680</v>
      </c>
      <c r="B2051" t="s">
        <v>689</v>
      </c>
      <c r="C2051" t="s">
        <v>302</v>
      </c>
      <c r="D2051" t="s">
        <v>155</v>
      </c>
      <c r="E2051">
        <v>7927</v>
      </c>
      <c r="F2051">
        <v>36279.355499999998</v>
      </c>
      <c r="G2051">
        <v>18139.689999999999</v>
      </c>
      <c r="H2051">
        <v>45666</v>
      </c>
      <c r="K2051" t="s">
        <v>690</v>
      </c>
      <c r="L2051">
        <v>45666</v>
      </c>
    </row>
    <row r="2052" spans="1:12" x14ac:dyDescent="0.35">
      <c r="A2052" t="s">
        <v>587</v>
      </c>
      <c r="B2052" t="s">
        <v>675</v>
      </c>
      <c r="C2052" t="s">
        <v>302</v>
      </c>
      <c r="D2052" t="s">
        <v>155</v>
      </c>
      <c r="E2052">
        <v>63722</v>
      </c>
      <c r="F2052">
        <v>269851.07040105801</v>
      </c>
      <c r="G2052">
        <v>134925.53519965679</v>
      </c>
      <c r="H2052">
        <v>45804</v>
      </c>
      <c r="L2052">
        <v>45804</v>
      </c>
    </row>
    <row r="2053" spans="1:12" x14ac:dyDescent="0.35">
      <c r="A2053" t="s">
        <v>694</v>
      </c>
      <c r="B2053" t="s">
        <v>689</v>
      </c>
      <c r="C2053" t="s">
        <v>302</v>
      </c>
      <c r="D2053" t="s">
        <v>155</v>
      </c>
      <c r="E2053">
        <v>1453</v>
      </c>
      <c r="F2053">
        <v>3531.3</v>
      </c>
      <c r="G2053">
        <v>1765.66</v>
      </c>
      <c r="H2053">
        <v>45679</v>
      </c>
      <c r="K2053" t="s">
        <v>690</v>
      </c>
      <c r="L2053">
        <v>45679</v>
      </c>
    </row>
    <row r="2054" spans="1:12" x14ac:dyDescent="0.35">
      <c r="A2054" t="s">
        <v>695</v>
      </c>
      <c r="B2054" t="s">
        <v>696</v>
      </c>
      <c r="C2054" t="s">
        <v>302</v>
      </c>
      <c r="D2054" t="s">
        <v>155</v>
      </c>
      <c r="E2054">
        <v>2395</v>
      </c>
      <c r="F2054">
        <v>5775.97</v>
      </c>
      <c r="G2054">
        <v>2887.96</v>
      </c>
      <c r="H2054">
        <v>45679</v>
      </c>
      <c r="K2054" t="s">
        <v>690</v>
      </c>
      <c r="L2054">
        <v>45679</v>
      </c>
    </row>
    <row r="2055" spans="1:12" x14ac:dyDescent="0.35">
      <c r="A2055" t="s">
        <v>697</v>
      </c>
      <c r="B2055" t="s">
        <v>698</v>
      </c>
      <c r="C2055" t="s">
        <v>302</v>
      </c>
      <c r="D2055" t="s">
        <v>155</v>
      </c>
      <c r="E2055">
        <v>833</v>
      </c>
      <c r="F2055">
        <v>3232.56</v>
      </c>
      <c r="G2055">
        <v>1616.3</v>
      </c>
      <c r="H2055">
        <v>45679</v>
      </c>
      <c r="K2055" t="s">
        <v>690</v>
      </c>
      <c r="L2055">
        <v>45679</v>
      </c>
    </row>
    <row r="2056" spans="1:12" x14ac:dyDescent="0.35">
      <c r="A2056" t="s">
        <v>601</v>
      </c>
      <c r="B2056" t="s">
        <v>689</v>
      </c>
      <c r="C2056" t="s">
        <v>302</v>
      </c>
      <c r="D2056" t="s">
        <v>155</v>
      </c>
      <c r="E2056">
        <v>1791</v>
      </c>
      <c r="F2056">
        <v>9222.1299999999992</v>
      </c>
      <c r="G2056">
        <v>4610.8900000000003</v>
      </c>
      <c r="H2056">
        <v>45679</v>
      </c>
      <c r="K2056" t="s">
        <v>690</v>
      </c>
      <c r="L2056">
        <v>45679</v>
      </c>
    </row>
    <row r="2057" spans="1:12" x14ac:dyDescent="0.35">
      <c r="A2057" t="s">
        <v>529</v>
      </c>
      <c r="B2057" t="s">
        <v>699</v>
      </c>
      <c r="C2057" t="s">
        <v>302</v>
      </c>
      <c r="D2057" t="s">
        <v>155</v>
      </c>
      <c r="E2057">
        <v>1180</v>
      </c>
      <c r="F2057">
        <v>4504.71</v>
      </c>
      <c r="G2057">
        <v>2252.35</v>
      </c>
      <c r="H2057">
        <v>45679</v>
      </c>
      <c r="L2057">
        <v>45679</v>
      </c>
    </row>
    <row r="2058" spans="1:12" x14ac:dyDescent="0.35">
      <c r="A2058" t="s">
        <v>529</v>
      </c>
      <c r="B2058" t="s">
        <v>700</v>
      </c>
      <c r="C2058" t="s">
        <v>302</v>
      </c>
      <c r="D2058" t="s">
        <v>155</v>
      </c>
      <c r="E2058">
        <v>1657</v>
      </c>
      <c r="F2058">
        <v>4628.38</v>
      </c>
      <c r="G2058">
        <v>2314.19</v>
      </c>
      <c r="H2058">
        <v>45679</v>
      </c>
      <c r="L2058">
        <v>45679</v>
      </c>
    </row>
    <row r="2059" spans="1:12" x14ac:dyDescent="0.35">
      <c r="A2059" t="s">
        <v>529</v>
      </c>
      <c r="B2059" t="s">
        <v>701</v>
      </c>
      <c r="C2059" t="s">
        <v>302</v>
      </c>
      <c r="D2059" t="s">
        <v>155</v>
      </c>
      <c r="E2059">
        <v>2994</v>
      </c>
      <c r="F2059">
        <v>5889.33</v>
      </c>
      <c r="G2059">
        <v>2994.69</v>
      </c>
      <c r="H2059">
        <v>45679</v>
      </c>
      <c r="L2059">
        <v>45679</v>
      </c>
    </row>
    <row r="2060" spans="1:12" x14ac:dyDescent="0.35">
      <c r="A2060" t="s">
        <v>685</v>
      </c>
      <c r="B2060" t="s">
        <v>693</v>
      </c>
      <c r="C2060" t="s">
        <v>302</v>
      </c>
      <c r="D2060" t="s">
        <v>155</v>
      </c>
      <c r="E2060">
        <v>38175</v>
      </c>
      <c r="F2060">
        <v>150356.76</v>
      </c>
      <c r="G2060">
        <v>75551.09</v>
      </c>
      <c r="H2060">
        <v>45684</v>
      </c>
      <c r="L2060">
        <v>45684</v>
      </c>
    </row>
    <row r="2061" spans="1:12" x14ac:dyDescent="0.35">
      <c r="A2061" t="s">
        <v>645</v>
      </c>
      <c r="B2061" t="s">
        <v>689</v>
      </c>
      <c r="C2061" t="s">
        <v>302</v>
      </c>
      <c r="D2061" t="s">
        <v>155</v>
      </c>
      <c r="E2061">
        <v>2417</v>
      </c>
      <c r="F2061">
        <v>12304.08</v>
      </c>
      <c r="G2061">
        <v>6153.14</v>
      </c>
      <c r="H2061">
        <v>45673</v>
      </c>
      <c r="L2061">
        <v>45673</v>
      </c>
    </row>
    <row r="2062" spans="1:12" x14ac:dyDescent="0.35">
      <c r="A2062" t="s">
        <v>642</v>
      </c>
      <c r="B2062" t="s">
        <v>702</v>
      </c>
      <c r="C2062" t="s">
        <v>302</v>
      </c>
      <c r="D2062" t="s">
        <v>155</v>
      </c>
      <c r="E2062">
        <f>59+98</f>
        <v>157</v>
      </c>
      <c r="F2062">
        <f>195.29+464.91</f>
        <v>660.2</v>
      </c>
      <c r="G2062">
        <v>330.07</v>
      </c>
      <c r="H2062">
        <v>45691</v>
      </c>
      <c r="L2062">
        <v>45691</v>
      </c>
    </row>
    <row r="2063" spans="1:12" x14ac:dyDescent="0.35">
      <c r="A2063" t="s">
        <v>478</v>
      </c>
      <c r="B2063" t="s">
        <v>689</v>
      </c>
      <c r="C2063" t="s">
        <v>627</v>
      </c>
      <c r="D2063" t="s">
        <v>155</v>
      </c>
      <c r="E2063">
        <v>2269</v>
      </c>
      <c r="F2063">
        <v>11956.73</v>
      </c>
      <c r="G2063">
        <v>5989.42</v>
      </c>
      <c r="H2063">
        <v>45691</v>
      </c>
      <c r="L2063">
        <v>45691</v>
      </c>
    </row>
    <row r="2064" spans="1:12" x14ac:dyDescent="0.35">
      <c r="A2064" t="s">
        <v>703</v>
      </c>
      <c r="B2064" t="s">
        <v>628</v>
      </c>
      <c r="C2064" t="s">
        <v>627</v>
      </c>
      <c r="D2064" t="s">
        <v>155</v>
      </c>
      <c r="E2064">
        <v>620</v>
      </c>
      <c r="F2064">
        <v>1994.24</v>
      </c>
      <c r="G2064">
        <v>997.12</v>
      </c>
      <c r="H2064">
        <v>45691</v>
      </c>
      <c r="L2064">
        <v>45691</v>
      </c>
    </row>
    <row r="2065" spans="1:12" x14ac:dyDescent="0.35">
      <c r="A2065" t="s">
        <v>703</v>
      </c>
      <c r="B2065" t="s">
        <v>689</v>
      </c>
      <c r="C2065" t="s">
        <v>627</v>
      </c>
      <c r="D2065" t="s">
        <v>155</v>
      </c>
      <c r="E2065">
        <v>234</v>
      </c>
      <c r="F2065">
        <v>1199.67</v>
      </c>
      <c r="G2065">
        <v>599.83000000000004</v>
      </c>
      <c r="H2065">
        <v>45691</v>
      </c>
      <c r="L2065">
        <v>45691</v>
      </c>
    </row>
    <row r="2066" spans="1:12" x14ac:dyDescent="0.35">
      <c r="A2066" t="s">
        <v>162</v>
      </c>
      <c r="B2066" t="s">
        <v>583</v>
      </c>
      <c r="C2066" t="s">
        <v>627</v>
      </c>
      <c r="D2066" t="s">
        <v>155</v>
      </c>
      <c r="E2066">
        <v>110</v>
      </c>
      <c r="F2066">
        <v>293.44</v>
      </c>
      <c r="G2066">
        <v>176.06</v>
      </c>
      <c r="H2066">
        <v>45705</v>
      </c>
      <c r="L2066">
        <v>45705</v>
      </c>
    </row>
    <row r="2067" spans="1:12" x14ac:dyDescent="0.35">
      <c r="A2067" t="s">
        <v>162</v>
      </c>
      <c r="B2067" t="s">
        <v>628</v>
      </c>
      <c r="C2067" t="s">
        <v>627</v>
      </c>
      <c r="D2067" t="s">
        <v>155</v>
      </c>
      <c r="E2067">
        <v>4524</v>
      </c>
      <c r="F2067">
        <v>13818.641785399986</v>
      </c>
      <c r="G2067">
        <v>8291.1850710109975</v>
      </c>
      <c r="H2067">
        <v>45705</v>
      </c>
      <c r="L2067">
        <v>45705</v>
      </c>
    </row>
    <row r="2068" spans="1:12" x14ac:dyDescent="0.35">
      <c r="A2068" t="s">
        <v>162</v>
      </c>
      <c r="B2068" t="s">
        <v>689</v>
      </c>
      <c r="C2068" t="s">
        <v>627</v>
      </c>
      <c r="D2068" t="s">
        <v>155</v>
      </c>
      <c r="E2068">
        <v>3290</v>
      </c>
      <c r="F2068">
        <v>17479.089788894966</v>
      </c>
      <c r="G2068">
        <v>10487.39</v>
      </c>
      <c r="H2068">
        <v>45705</v>
      </c>
      <c r="L2068">
        <v>45705</v>
      </c>
    </row>
    <row r="2069" spans="1:12" x14ac:dyDescent="0.35">
      <c r="A2069" t="s">
        <v>704</v>
      </c>
      <c r="B2069" t="s">
        <v>705</v>
      </c>
      <c r="C2069" t="s">
        <v>627</v>
      </c>
      <c r="D2069" t="s">
        <v>609</v>
      </c>
      <c r="E2069">
        <v>2514</v>
      </c>
      <c r="F2069">
        <v>56511.419999999896</v>
      </c>
      <c r="G2069">
        <v>28255.919999999991</v>
      </c>
      <c r="H2069">
        <v>45721</v>
      </c>
      <c r="L2069">
        <v>45721</v>
      </c>
    </row>
    <row r="2070" spans="1:12" x14ac:dyDescent="0.35">
      <c r="A2070" t="s">
        <v>706</v>
      </c>
      <c r="B2070" t="s">
        <v>668</v>
      </c>
      <c r="C2070" t="s">
        <v>627</v>
      </c>
      <c r="D2070" t="s">
        <v>155</v>
      </c>
      <c r="E2070">
        <v>2475</v>
      </c>
      <c r="F2070">
        <v>9934</v>
      </c>
      <c r="G2070">
        <v>4967</v>
      </c>
      <c r="H2070">
        <v>45460</v>
      </c>
      <c r="L2070">
        <v>45460</v>
      </c>
    </row>
    <row r="2071" spans="1:12" x14ac:dyDescent="0.35">
      <c r="A2071" t="s">
        <v>706</v>
      </c>
      <c r="B2071" t="s">
        <v>689</v>
      </c>
      <c r="C2071" t="s">
        <v>627</v>
      </c>
      <c r="D2071" t="s">
        <v>155</v>
      </c>
      <c r="E2071">
        <v>9526</v>
      </c>
      <c r="F2071">
        <v>46794</v>
      </c>
      <c r="G2071">
        <v>23397</v>
      </c>
      <c r="H2071">
        <v>45728</v>
      </c>
      <c r="L2071">
        <v>45728</v>
      </c>
    </row>
    <row r="2072" spans="1:12" x14ac:dyDescent="0.35">
      <c r="A2072" t="s">
        <v>450</v>
      </c>
      <c r="B2072" t="s">
        <v>707</v>
      </c>
      <c r="C2072" t="s">
        <v>627</v>
      </c>
      <c r="D2072" t="s">
        <v>155</v>
      </c>
      <c r="E2072">
        <v>7473</v>
      </c>
      <c r="F2072">
        <v>25619.86</v>
      </c>
      <c r="G2072">
        <v>12809.93</v>
      </c>
      <c r="H2072">
        <v>45750</v>
      </c>
      <c r="L2072">
        <v>45775</v>
      </c>
    </row>
    <row r="2073" spans="1:12" x14ac:dyDescent="0.35">
      <c r="A2073" t="s">
        <v>450</v>
      </c>
      <c r="B2073" t="s">
        <v>689</v>
      </c>
      <c r="C2073" t="s">
        <v>627</v>
      </c>
      <c r="D2073" t="s">
        <v>155</v>
      </c>
      <c r="E2073">
        <v>6560</v>
      </c>
      <c r="F2073">
        <v>23651.25099238698</v>
      </c>
      <c r="G2073">
        <v>11894.65756363109</v>
      </c>
      <c r="H2073">
        <v>45750</v>
      </c>
      <c r="L2073">
        <v>45775</v>
      </c>
    </row>
    <row r="2074" spans="1:12" x14ac:dyDescent="0.35">
      <c r="A2074" t="s">
        <v>575</v>
      </c>
      <c r="B2074" t="s">
        <v>708</v>
      </c>
      <c r="C2074" t="s">
        <v>627</v>
      </c>
      <c r="D2074" t="s">
        <v>155</v>
      </c>
      <c r="E2074">
        <v>89760</v>
      </c>
      <c r="F2074">
        <v>403790.27522646479</v>
      </c>
      <c r="G2074">
        <v>202781.99422654291</v>
      </c>
      <c r="H2074">
        <v>45782</v>
      </c>
      <c r="K2074" t="s">
        <v>709</v>
      </c>
      <c r="L2074">
        <v>45782</v>
      </c>
    </row>
    <row r="2075" spans="1:12" x14ac:dyDescent="0.35">
      <c r="A2075" t="s">
        <v>575</v>
      </c>
      <c r="B2075" t="s">
        <v>710</v>
      </c>
      <c r="C2075" t="s">
        <v>711</v>
      </c>
      <c r="D2075" t="s">
        <v>155</v>
      </c>
      <c r="E2075">
        <v>13699177</v>
      </c>
      <c r="F2075">
        <v>293091.95543989702</v>
      </c>
      <c r="G2075">
        <v>146545.97771994863</v>
      </c>
      <c r="H2075">
        <v>45782</v>
      </c>
      <c r="L2075">
        <v>45782</v>
      </c>
    </row>
    <row r="2076" spans="1:12" x14ac:dyDescent="0.35">
      <c r="A2076" t="s">
        <v>574</v>
      </c>
      <c r="B2076" t="s">
        <v>708</v>
      </c>
      <c r="C2076" t="s">
        <v>627</v>
      </c>
      <c r="D2076" t="s">
        <v>155</v>
      </c>
      <c r="E2076">
        <v>201970</v>
      </c>
      <c r="F2076">
        <v>292415.7439956296</v>
      </c>
      <c r="G2076">
        <v>185819.33150426988</v>
      </c>
      <c r="H2076">
        <v>45785</v>
      </c>
      <c r="L2076">
        <v>45785</v>
      </c>
    </row>
    <row r="2077" spans="1:12" x14ac:dyDescent="0.35">
      <c r="A2077" t="s">
        <v>712</v>
      </c>
      <c r="B2077" t="s">
        <v>713</v>
      </c>
      <c r="C2077" t="s">
        <v>627</v>
      </c>
      <c r="D2077" t="s">
        <v>155</v>
      </c>
      <c r="E2077">
        <v>74</v>
      </c>
      <c r="F2077">
        <v>6208</v>
      </c>
      <c r="G2077">
        <v>3724</v>
      </c>
      <c r="H2077">
        <v>45785</v>
      </c>
      <c r="L2077">
        <v>45785</v>
      </c>
    </row>
    <row r="2078" spans="1:12" x14ac:dyDescent="0.35">
      <c r="A2078" t="s">
        <v>654</v>
      </c>
      <c r="B2078" t="s">
        <v>714</v>
      </c>
      <c r="C2078" t="s">
        <v>627</v>
      </c>
      <c r="D2078" t="s">
        <v>155</v>
      </c>
      <c r="E2078">
        <v>4649</v>
      </c>
      <c r="F2078">
        <v>13707.285506522969</v>
      </c>
      <c r="G2078">
        <v>6853.5220833659923</v>
      </c>
      <c r="H2078">
        <v>45792</v>
      </c>
      <c r="L2078">
        <v>45792</v>
      </c>
    </row>
    <row r="2079" spans="1:12" x14ac:dyDescent="0.35">
      <c r="A2079" t="s">
        <v>715</v>
      </c>
      <c r="B2079" t="s">
        <v>714</v>
      </c>
      <c r="C2079" t="s">
        <v>627</v>
      </c>
      <c r="D2079" t="s">
        <v>155</v>
      </c>
      <c r="E2079">
        <v>387</v>
      </c>
      <c r="F2079">
        <v>1142.658353186999</v>
      </c>
      <c r="G2079">
        <v>571.34199073399895</v>
      </c>
      <c r="H2079">
        <v>45797</v>
      </c>
      <c r="L2079">
        <v>45797</v>
      </c>
    </row>
    <row r="2080" spans="1:12" x14ac:dyDescent="0.35">
      <c r="A2080" t="s">
        <v>716</v>
      </c>
      <c r="B2080" t="s">
        <v>717</v>
      </c>
      <c r="C2080" t="s">
        <v>627</v>
      </c>
      <c r="D2080" t="s">
        <v>155</v>
      </c>
      <c r="E2080">
        <v>2677</v>
      </c>
      <c r="F2080">
        <v>14828</v>
      </c>
      <c r="G2080">
        <v>7414</v>
      </c>
      <c r="H2080">
        <v>45801</v>
      </c>
      <c r="L2080">
        <v>45801</v>
      </c>
    </row>
    <row r="2081" spans="1:12" x14ac:dyDescent="0.35">
      <c r="A2081" t="s">
        <v>587</v>
      </c>
      <c r="B2081" t="s">
        <v>714</v>
      </c>
      <c r="C2081" t="s">
        <v>627</v>
      </c>
      <c r="D2081" t="s">
        <v>155</v>
      </c>
      <c r="E2081">
        <v>158255</v>
      </c>
      <c r="F2081">
        <v>647449.94322383439</v>
      </c>
      <c r="G2081">
        <v>323724.31564682536</v>
      </c>
      <c r="H2081">
        <v>45804</v>
      </c>
      <c r="L2081">
        <v>45804</v>
      </c>
    </row>
    <row r="2082" spans="1:12" x14ac:dyDescent="0.35">
      <c r="A2082" t="s">
        <v>405</v>
      </c>
      <c r="B2082" t="s">
        <v>718</v>
      </c>
      <c r="C2082" t="s">
        <v>627</v>
      </c>
      <c r="D2082" t="s">
        <v>155</v>
      </c>
      <c r="E2082">
        <v>3841</v>
      </c>
      <c r="F2082">
        <v>991.46153703434641</v>
      </c>
      <c r="G2082">
        <v>495.71670276667368</v>
      </c>
      <c r="H2082">
        <v>45933</v>
      </c>
      <c r="L2082">
        <v>45947</v>
      </c>
    </row>
    <row r="2083" spans="1:12" x14ac:dyDescent="0.35">
      <c r="A2083" t="s">
        <v>405</v>
      </c>
      <c r="B2083" t="s">
        <v>714</v>
      </c>
      <c r="C2083" t="s">
        <v>627</v>
      </c>
      <c r="D2083" t="s">
        <v>155</v>
      </c>
      <c r="E2083">
        <v>1482</v>
      </c>
      <c r="F2083">
        <v>1761.6114788270006</v>
      </c>
      <c r="G2083">
        <v>885.95626083499985</v>
      </c>
      <c r="H2083">
        <v>45933</v>
      </c>
      <c r="L2083">
        <v>45947</v>
      </c>
    </row>
    <row r="2084" spans="1:12" x14ac:dyDescent="0.35">
      <c r="A2084" t="s">
        <v>617</v>
      </c>
      <c r="B2084" t="s">
        <v>719</v>
      </c>
      <c r="C2084" t="s">
        <v>627</v>
      </c>
      <c r="D2084" t="s">
        <v>155</v>
      </c>
      <c r="E2084">
        <v>5946</v>
      </c>
      <c r="F2084">
        <v>9215.380000000001</v>
      </c>
      <c r="G2084">
        <v>4607.66</v>
      </c>
      <c r="H2084">
        <v>45791</v>
      </c>
      <c r="L2084">
        <v>45791</v>
      </c>
    </row>
    <row r="2085" spans="1:12" x14ac:dyDescent="0.35">
      <c r="A2085" t="s">
        <v>673</v>
      </c>
      <c r="B2085" t="s">
        <v>720</v>
      </c>
      <c r="C2085" t="s">
        <v>302</v>
      </c>
      <c r="D2085" t="s">
        <v>155</v>
      </c>
      <c r="E2085">
        <v>38667</v>
      </c>
      <c r="F2085">
        <v>204419.77</v>
      </c>
      <c r="G2085">
        <v>102209.76</v>
      </c>
      <c r="H2085">
        <v>45825</v>
      </c>
      <c r="L2085">
        <v>45642</v>
      </c>
    </row>
    <row r="2086" spans="1:12" x14ac:dyDescent="0.35">
      <c r="A2086" t="s">
        <v>405</v>
      </c>
      <c r="B2086" t="s">
        <v>721</v>
      </c>
      <c r="C2086" t="s">
        <v>627</v>
      </c>
      <c r="D2086" t="s">
        <v>155</v>
      </c>
      <c r="E2086">
        <v>470</v>
      </c>
      <c r="F2086">
        <v>419.55684027500001</v>
      </c>
      <c r="G2086">
        <v>209.778420127999</v>
      </c>
      <c r="H2086">
        <v>45933</v>
      </c>
      <c r="L2086">
        <v>45947</v>
      </c>
    </row>
    <row r="2087" spans="1:12" x14ac:dyDescent="0.35">
      <c r="A2087" t="s">
        <v>555</v>
      </c>
      <c r="B2087" t="s">
        <v>722</v>
      </c>
      <c r="C2087" t="s">
        <v>627</v>
      </c>
      <c r="D2087" t="s">
        <v>155</v>
      </c>
      <c r="E2087">
        <v>22801</v>
      </c>
      <c r="F2087">
        <v>123030.51521005887</v>
      </c>
      <c r="G2087">
        <v>61514.914409832942</v>
      </c>
      <c r="H2087">
        <v>45945</v>
      </c>
      <c r="L2087">
        <v>45945</v>
      </c>
    </row>
    <row r="2088" spans="1:12" x14ac:dyDescent="0.35">
      <c r="A2088" t="s">
        <v>575</v>
      </c>
      <c r="B2088" t="s">
        <v>723</v>
      </c>
      <c r="C2088" t="s">
        <v>627</v>
      </c>
      <c r="D2088" t="s">
        <v>155</v>
      </c>
      <c r="E2088">
        <v>205082</v>
      </c>
      <c r="F2088">
        <v>383705.99997086969</v>
      </c>
      <c r="G2088">
        <v>191852.99999074082</v>
      </c>
      <c r="H2088">
        <v>45968</v>
      </c>
      <c r="L2088">
        <v>45974</v>
      </c>
    </row>
    <row r="2089" spans="1:12" x14ac:dyDescent="0.35">
      <c r="A2089" t="s">
        <v>724</v>
      </c>
      <c r="B2089" t="s">
        <v>725</v>
      </c>
      <c r="C2089" t="s">
        <v>627</v>
      </c>
      <c r="D2089" t="s">
        <v>155</v>
      </c>
      <c r="E2089">
        <v>2216</v>
      </c>
      <c r="F2089">
        <v>7062.5612542809986</v>
      </c>
      <c r="G2089">
        <v>3531.280627410998</v>
      </c>
      <c r="H2089">
        <v>45980</v>
      </c>
      <c r="L2089">
        <v>45992</v>
      </c>
    </row>
    <row r="2090" spans="1:12" x14ac:dyDescent="0.35">
      <c r="A2090" t="s">
        <v>724</v>
      </c>
      <c r="B2090" t="s">
        <v>726</v>
      </c>
      <c r="C2090" t="s">
        <v>627</v>
      </c>
      <c r="D2090" t="s">
        <v>155</v>
      </c>
      <c r="E2090">
        <v>23960</v>
      </c>
      <c r="F2090">
        <v>61159.862164437953</v>
      </c>
      <c r="G2090">
        <v>30579.931082260959</v>
      </c>
      <c r="H2090">
        <v>45980</v>
      </c>
      <c r="L2090">
        <v>45992</v>
      </c>
    </row>
    <row r="2091" spans="1:12" x14ac:dyDescent="0.35">
      <c r="A2091" t="s">
        <v>724</v>
      </c>
      <c r="B2091" t="s">
        <v>722</v>
      </c>
      <c r="C2091" t="s">
        <v>627</v>
      </c>
      <c r="D2091" t="s">
        <v>155</v>
      </c>
      <c r="E2091">
        <v>32217</v>
      </c>
      <c r="F2091">
        <v>51744.562992920932</v>
      </c>
      <c r="G2091">
        <v>25871.981674410952</v>
      </c>
      <c r="H2091">
        <v>45980</v>
      </c>
      <c r="L2091">
        <v>45992</v>
      </c>
    </row>
    <row r="2092" spans="1:12" x14ac:dyDescent="0.35">
      <c r="A2092" t="s">
        <v>388</v>
      </c>
      <c r="B2092" t="s">
        <v>686</v>
      </c>
      <c r="C2092" t="s">
        <v>627</v>
      </c>
      <c r="D2092" t="s">
        <v>155</v>
      </c>
      <c r="E2092">
        <v>11930</v>
      </c>
      <c r="F2092">
        <v>52823.88</v>
      </c>
      <c r="G2092">
        <v>26411.94</v>
      </c>
      <c r="H2092">
        <v>45693</v>
      </c>
      <c r="L2092">
        <v>45693</v>
      </c>
    </row>
    <row r="2093" spans="1:12" x14ac:dyDescent="0.35">
      <c r="A2093" t="s">
        <v>388</v>
      </c>
      <c r="B2093" t="s">
        <v>689</v>
      </c>
      <c r="C2093" t="s">
        <v>627</v>
      </c>
      <c r="D2093" t="s">
        <v>155</v>
      </c>
      <c r="E2093">
        <v>26910</v>
      </c>
      <c r="F2093">
        <v>126961.87</v>
      </c>
      <c r="G2093">
        <v>63480.89</v>
      </c>
      <c r="H2093">
        <v>45693</v>
      </c>
      <c r="L2093">
        <v>45693</v>
      </c>
    </row>
    <row r="2094" spans="1:12" x14ac:dyDescent="0.35">
      <c r="A2094" t="s">
        <v>388</v>
      </c>
      <c r="B2094" t="s">
        <v>708</v>
      </c>
      <c r="C2094" t="s">
        <v>627</v>
      </c>
      <c r="D2094" t="s">
        <v>155</v>
      </c>
      <c r="E2094">
        <v>18419</v>
      </c>
      <c r="F2094">
        <v>32267.68</v>
      </c>
      <c r="G2094">
        <v>16133.83</v>
      </c>
      <c r="H2094">
        <v>45793</v>
      </c>
      <c r="L2094">
        <v>45793</v>
      </c>
    </row>
    <row r="2095" spans="1:12" x14ac:dyDescent="0.35">
      <c r="A2095" t="s">
        <v>388</v>
      </c>
      <c r="B2095" t="s">
        <v>727</v>
      </c>
      <c r="C2095" t="s">
        <v>627</v>
      </c>
      <c r="D2095" t="s">
        <v>155</v>
      </c>
      <c r="E2095">
        <v>24004</v>
      </c>
      <c r="F2095">
        <v>18338.955639966971</v>
      </c>
      <c r="G2095">
        <v>9169.4778197999804</v>
      </c>
      <c r="H2095">
        <v>45981</v>
      </c>
      <c r="L2095">
        <v>45981</v>
      </c>
    </row>
    <row r="2096" spans="1:12" x14ac:dyDescent="0.35">
      <c r="A2096" t="s">
        <v>724</v>
      </c>
      <c r="B2096" t="s">
        <v>723</v>
      </c>
      <c r="C2096" t="s">
        <v>627</v>
      </c>
      <c r="D2096" t="s">
        <v>155</v>
      </c>
      <c r="E2096">
        <v>22434</v>
      </c>
      <c r="F2096">
        <v>15247.067469648991</v>
      </c>
      <c r="G2096">
        <v>7623.5337346779788</v>
      </c>
      <c r="H2096">
        <v>45992</v>
      </c>
      <c r="L2096">
        <v>45992</v>
      </c>
    </row>
    <row r="2097" spans="1:12" x14ac:dyDescent="0.35">
      <c r="A2097" t="s">
        <v>564</v>
      </c>
      <c r="B2097" t="s">
        <v>728</v>
      </c>
      <c r="C2097" t="s">
        <v>627</v>
      </c>
      <c r="D2097" t="s">
        <v>155</v>
      </c>
      <c r="E2097">
        <v>166697</v>
      </c>
      <c r="F2097">
        <v>236503</v>
      </c>
      <c r="G2097">
        <v>118287.3</v>
      </c>
      <c r="H2097">
        <v>45993</v>
      </c>
      <c r="L2097">
        <v>45993</v>
      </c>
    </row>
    <row r="2098" spans="1:12" x14ac:dyDescent="0.35">
      <c r="A2098" t="s">
        <v>564</v>
      </c>
      <c r="B2098" t="s">
        <v>729</v>
      </c>
      <c r="C2098" t="s">
        <v>627</v>
      </c>
      <c r="D2098" t="s">
        <v>155</v>
      </c>
      <c r="E2098">
        <v>301109</v>
      </c>
      <c r="F2098">
        <v>263332.3</v>
      </c>
      <c r="G2098">
        <v>131666.1</v>
      </c>
      <c r="H2098">
        <v>45993</v>
      </c>
      <c r="L2098">
        <v>45993</v>
      </c>
    </row>
    <row r="2099" spans="1:12" x14ac:dyDescent="0.35">
      <c r="A2099" t="s">
        <v>534</v>
      </c>
      <c r="B2099" t="s">
        <v>718</v>
      </c>
      <c r="C2099" t="s">
        <v>302</v>
      </c>
      <c r="D2099" t="s">
        <v>155</v>
      </c>
      <c r="E2099">
        <v>511</v>
      </c>
      <c r="F2099">
        <v>1467.0704809799977</v>
      </c>
      <c r="G2099">
        <v>733.53524051599891</v>
      </c>
      <c r="H2099">
        <v>46018</v>
      </c>
      <c r="L2099">
        <v>46018</v>
      </c>
    </row>
    <row r="2100" spans="1:12" x14ac:dyDescent="0.35">
      <c r="A2100" t="s">
        <v>534</v>
      </c>
      <c r="B2100" t="s">
        <v>730</v>
      </c>
      <c r="C2100" t="s">
        <v>302</v>
      </c>
      <c r="D2100" t="s">
        <v>155</v>
      </c>
      <c r="E2100">
        <v>31</v>
      </c>
      <c r="F2100">
        <v>110.325687715</v>
      </c>
      <c r="G2100">
        <v>55.149077841000008</v>
      </c>
      <c r="H2100">
        <v>46018</v>
      </c>
      <c r="L2100">
        <v>46018</v>
      </c>
    </row>
    <row r="2101" spans="1:12" x14ac:dyDescent="0.35">
      <c r="A2101" t="s">
        <v>662</v>
      </c>
      <c r="B2101" t="s">
        <v>708</v>
      </c>
      <c r="C2101" t="s">
        <v>302</v>
      </c>
      <c r="D2101" t="s">
        <v>155</v>
      </c>
      <c r="E2101">
        <v>11177</v>
      </c>
      <c r="F2101">
        <v>47807.975932435991</v>
      </c>
      <c r="G2101">
        <v>23903.987965312997</v>
      </c>
      <c r="H2101">
        <v>46021</v>
      </c>
      <c r="K2101" t="s">
        <v>731</v>
      </c>
      <c r="L2101">
        <v>46021</v>
      </c>
    </row>
    <row r="2102" spans="1:12" x14ac:dyDescent="0.35">
      <c r="A2102" t="s">
        <v>662</v>
      </c>
      <c r="B2102" t="s">
        <v>727</v>
      </c>
      <c r="C2102" t="s">
        <v>302</v>
      </c>
      <c r="D2102" t="s">
        <v>155</v>
      </c>
      <c r="E2102">
        <v>12086</v>
      </c>
      <c r="F2102">
        <v>15072.61753681397</v>
      </c>
      <c r="G2102">
        <v>7536.3087682760006</v>
      </c>
      <c r="H2102">
        <v>46021</v>
      </c>
      <c r="K2102" t="s">
        <v>732</v>
      </c>
      <c r="L2102">
        <v>46021</v>
      </c>
    </row>
    <row r="2103" spans="1:12" x14ac:dyDescent="0.35">
      <c r="A2103" t="s">
        <v>733</v>
      </c>
      <c r="B2103" t="s">
        <v>734</v>
      </c>
      <c r="C2103" t="s">
        <v>627</v>
      </c>
      <c r="D2103" t="s">
        <v>155</v>
      </c>
      <c r="E2103">
        <v>15167</v>
      </c>
      <c r="F2103">
        <v>70497.22</v>
      </c>
      <c r="G2103">
        <v>35248.61</v>
      </c>
      <c r="H2103">
        <v>45870</v>
      </c>
      <c r="L2103">
        <v>45870</v>
      </c>
    </row>
    <row r="2104" spans="1:12" x14ac:dyDescent="0.35">
      <c r="A2104" t="s">
        <v>733</v>
      </c>
      <c r="B2104" t="s">
        <v>735</v>
      </c>
      <c r="C2104" t="s">
        <v>627</v>
      </c>
      <c r="D2104" t="s">
        <v>155</v>
      </c>
      <c r="E2104">
        <v>79972</v>
      </c>
      <c r="F2104" t="s">
        <v>736</v>
      </c>
      <c r="G2104">
        <v>211464.79</v>
      </c>
      <c r="H2104">
        <v>45870</v>
      </c>
      <c r="L2104">
        <v>45870</v>
      </c>
    </row>
    <row r="2105" spans="1:12" x14ac:dyDescent="0.35">
      <c r="A2105" t="s">
        <v>733</v>
      </c>
      <c r="B2105" t="s">
        <v>737</v>
      </c>
      <c r="C2105" t="s">
        <v>627</v>
      </c>
      <c r="D2105" t="s">
        <v>155</v>
      </c>
      <c r="E2105">
        <v>22583</v>
      </c>
      <c r="F2105">
        <v>51950.805411892994</v>
      </c>
      <c r="G2105">
        <v>25975.402706054992</v>
      </c>
      <c r="H2105">
        <v>46031</v>
      </c>
      <c r="L2105">
        <v>46043</v>
      </c>
    </row>
    <row r="2106" spans="1:12" x14ac:dyDescent="0.35">
      <c r="A2106" t="s">
        <v>706</v>
      </c>
      <c r="B2106" t="s">
        <v>708</v>
      </c>
      <c r="C2106" t="s">
        <v>627</v>
      </c>
      <c r="D2106" t="s">
        <v>155</v>
      </c>
      <c r="E2106">
        <v>2831</v>
      </c>
      <c r="F2106">
        <v>13102</v>
      </c>
      <c r="G2106">
        <v>6551</v>
      </c>
      <c r="H2106">
        <v>46034</v>
      </c>
      <c r="L2106">
        <v>46044</v>
      </c>
    </row>
    <row r="2107" spans="1:12" x14ac:dyDescent="0.35">
      <c r="A2107" t="s">
        <v>706</v>
      </c>
      <c r="B2107" t="s">
        <v>727</v>
      </c>
      <c r="C2107" t="s">
        <v>627</v>
      </c>
      <c r="D2107" t="s">
        <v>155</v>
      </c>
      <c r="E2107">
        <v>2114</v>
      </c>
      <c r="F2107">
        <v>3835</v>
      </c>
      <c r="G2107">
        <v>1917</v>
      </c>
      <c r="H2107">
        <v>46034</v>
      </c>
      <c r="L2107">
        <v>46044</v>
      </c>
    </row>
    <row r="2108" spans="1:12" x14ac:dyDescent="0.35">
      <c r="A2108" t="s">
        <v>649</v>
      </c>
      <c r="B2108" t="s">
        <v>738</v>
      </c>
      <c r="C2108" t="s">
        <v>627</v>
      </c>
      <c r="D2108" t="s">
        <v>155</v>
      </c>
      <c r="E2108">
        <v>2634</v>
      </c>
      <c r="F2108">
        <v>8832.92</v>
      </c>
      <c r="G2108">
        <v>5299.75</v>
      </c>
      <c r="H2108">
        <v>46034</v>
      </c>
      <c r="L2108">
        <v>46045</v>
      </c>
    </row>
    <row r="2109" spans="1:12" x14ac:dyDescent="0.35">
      <c r="A2109" t="s">
        <v>649</v>
      </c>
      <c r="B2109" t="s">
        <v>739</v>
      </c>
      <c r="C2109" t="s">
        <v>627</v>
      </c>
      <c r="D2109" t="s">
        <v>155</v>
      </c>
      <c r="E2109">
        <v>12497</v>
      </c>
      <c r="F2109">
        <v>26847.279999999999</v>
      </c>
      <c r="G2109">
        <v>16108.37</v>
      </c>
      <c r="H2109">
        <v>46034</v>
      </c>
      <c r="L2109">
        <v>46045</v>
      </c>
    </row>
    <row r="2110" spans="1:12" x14ac:dyDescent="0.35">
      <c r="A2110" t="s">
        <v>574</v>
      </c>
      <c r="B2110" t="s">
        <v>740</v>
      </c>
      <c r="C2110" t="s">
        <v>627</v>
      </c>
      <c r="D2110" t="s">
        <v>155</v>
      </c>
      <c r="E2110">
        <v>622287</v>
      </c>
      <c r="F2110">
        <v>479909.2</v>
      </c>
      <c r="G2110">
        <v>311941</v>
      </c>
      <c r="H2110">
        <v>46086</v>
      </c>
      <c r="L2110">
        <v>46045</v>
      </c>
    </row>
    <row r="2111" spans="1:12" x14ac:dyDescent="0.35">
      <c r="A2111" t="s">
        <v>645</v>
      </c>
      <c r="B2111" t="s">
        <v>708</v>
      </c>
      <c r="C2111" t="s">
        <v>302</v>
      </c>
      <c r="D2111" t="s">
        <v>155</v>
      </c>
      <c r="E2111">
        <v>3239</v>
      </c>
      <c r="F2111">
        <v>14356.81</v>
      </c>
      <c r="G2111">
        <v>7178.4</v>
      </c>
      <c r="H2111">
        <v>45824</v>
      </c>
      <c r="L2111">
        <v>45824</v>
      </c>
    </row>
    <row r="2112" spans="1:12" x14ac:dyDescent="0.35">
      <c r="A2112" t="s">
        <v>564</v>
      </c>
      <c r="B2112" t="s">
        <v>741</v>
      </c>
      <c r="C2112" t="s">
        <v>627</v>
      </c>
      <c r="D2112" t="s">
        <v>155</v>
      </c>
      <c r="E2112">
        <v>123509</v>
      </c>
      <c r="F2112">
        <v>69904.179999999993</v>
      </c>
      <c r="G2112">
        <v>34952.089999999997</v>
      </c>
      <c r="H2112">
        <v>46071</v>
      </c>
      <c r="L2112">
        <v>46071</v>
      </c>
    </row>
    <row r="2113" spans="1:12" x14ac:dyDescent="0.35">
      <c r="A2113" t="s">
        <v>685</v>
      </c>
      <c r="B2113" t="s">
        <v>708</v>
      </c>
      <c r="C2113" t="s">
        <v>627</v>
      </c>
      <c r="D2113" t="s">
        <v>155</v>
      </c>
      <c r="E2113">
        <v>16640</v>
      </c>
      <c r="F2113">
        <v>70881.22</v>
      </c>
      <c r="G2113">
        <v>35443.29</v>
      </c>
      <c r="H2113">
        <v>45821</v>
      </c>
      <c r="L2113">
        <v>45821</v>
      </c>
    </row>
    <row r="2114" spans="1:12" x14ac:dyDescent="0.35">
      <c r="A2114" t="s">
        <v>685</v>
      </c>
      <c r="B2114" t="s">
        <v>727</v>
      </c>
      <c r="C2114" t="s">
        <v>627</v>
      </c>
      <c r="D2114" t="s">
        <v>155</v>
      </c>
      <c r="E2114">
        <v>64075</v>
      </c>
      <c r="F2114">
        <v>107407.8</v>
      </c>
      <c r="G2114">
        <v>53703.91</v>
      </c>
      <c r="H2114">
        <v>46045</v>
      </c>
      <c r="L2114">
        <v>46045</v>
      </c>
    </row>
    <row r="2115" spans="1:12" x14ac:dyDescent="0.35">
      <c r="A2115" t="s">
        <v>685</v>
      </c>
      <c r="B2115" t="s">
        <v>742</v>
      </c>
      <c r="C2115" t="s">
        <v>627</v>
      </c>
      <c r="D2115" t="s">
        <v>155</v>
      </c>
      <c r="E2115">
        <v>44487</v>
      </c>
      <c r="F2115">
        <v>43615.31</v>
      </c>
      <c r="G2115">
        <v>21807.65</v>
      </c>
      <c r="H2115">
        <v>46071</v>
      </c>
      <c r="L2115">
        <v>46071</v>
      </c>
    </row>
    <row r="2116" spans="1:12" x14ac:dyDescent="0.35">
      <c r="A2116" t="s">
        <v>743</v>
      </c>
      <c r="B2116" t="s">
        <v>726</v>
      </c>
      <c r="C2116" t="s">
        <v>627</v>
      </c>
      <c r="D2116" t="s">
        <v>155</v>
      </c>
      <c r="E2116">
        <v>217285</v>
      </c>
      <c r="F2116">
        <v>561809.13837251952</v>
      </c>
      <c r="G2116">
        <v>280904.56918773957</v>
      </c>
      <c r="H2116">
        <v>46149</v>
      </c>
      <c r="L2116">
        <v>46149</v>
      </c>
    </row>
    <row r="2117" spans="1:12" x14ac:dyDescent="0.35">
      <c r="A2117" t="s">
        <v>743</v>
      </c>
      <c r="B2117" t="s">
        <v>722</v>
      </c>
      <c r="C2117" t="s">
        <v>627</v>
      </c>
      <c r="D2117" t="s">
        <v>155</v>
      </c>
      <c r="E2117">
        <v>145582</v>
      </c>
      <c r="F2117">
        <v>291644.6086053435</v>
      </c>
      <c r="G2117">
        <v>145821.17969091758</v>
      </c>
      <c r="H2117">
        <v>46149</v>
      </c>
      <c r="L2117">
        <v>46149</v>
      </c>
    </row>
    <row r="2118" spans="1:12" x14ac:dyDescent="0.35">
      <c r="A2118" t="s">
        <v>743</v>
      </c>
      <c r="B2118" t="s">
        <v>744</v>
      </c>
      <c r="C2118" t="s">
        <v>627</v>
      </c>
      <c r="D2118" t="s">
        <v>155</v>
      </c>
      <c r="E2118">
        <v>238235</v>
      </c>
      <c r="F2118">
        <v>154224.9291942085</v>
      </c>
      <c r="G2118">
        <v>77112.464597508893</v>
      </c>
      <c r="H2118">
        <v>46149</v>
      </c>
      <c r="L2118">
        <v>46149</v>
      </c>
    </row>
    <row r="2119" spans="1:12" x14ac:dyDescent="0.35">
      <c r="A2119" t="s">
        <v>602</v>
      </c>
      <c r="B2119" t="s">
        <v>728</v>
      </c>
      <c r="C2119" t="s">
        <v>627</v>
      </c>
      <c r="D2119" t="s">
        <v>155</v>
      </c>
      <c r="E2119" t="s">
        <v>745</v>
      </c>
      <c r="F2119" t="s">
        <v>746</v>
      </c>
      <c r="G2119" t="s">
        <v>747</v>
      </c>
      <c r="H2119">
        <v>46045</v>
      </c>
      <c r="L2119">
        <v>46045</v>
      </c>
    </row>
    <row r="2120" spans="1:12" x14ac:dyDescent="0.35">
      <c r="A2120" t="s">
        <v>602</v>
      </c>
      <c r="B2120" t="s">
        <v>748</v>
      </c>
      <c r="C2120" t="s">
        <v>627</v>
      </c>
      <c r="D2120" t="s">
        <v>155</v>
      </c>
      <c r="E2120">
        <v>21557</v>
      </c>
      <c r="F2120">
        <v>37796.730000000003</v>
      </c>
      <c r="G2120">
        <v>18898.37</v>
      </c>
      <c r="H2120">
        <v>46045</v>
      </c>
    </row>
    <row r="2121" spans="1:12" x14ac:dyDescent="0.35">
      <c r="A2121" t="s">
        <v>654</v>
      </c>
      <c r="B2121" t="s">
        <v>749</v>
      </c>
      <c r="C2121" t="s">
        <v>627</v>
      </c>
      <c r="D2121" t="s">
        <v>155</v>
      </c>
      <c r="E2121">
        <v>4017</v>
      </c>
      <c r="F2121">
        <v>6006.4809999999998</v>
      </c>
      <c r="G2121">
        <v>3003.241</v>
      </c>
      <c r="H2121">
        <v>46092</v>
      </c>
    </row>
    <row r="2122" spans="1:12" x14ac:dyDescent="0.35">
      <c r="A2122" t="s">
        <v>599</v>
      </c>
      <c r="B2122">
        <v>45352</v>
      </c>
      <c r="C2122" t="s">
        <v>302</v>
      </c>
      <c r="D2122" t="s">
        <v>155</v>
      </c>
      <c r="E2122">
        <v>1493</v>
      </c>
      <c r="F2122">
        <v>5094.04</v>
      </c>
      <c r="G2122">
        <v>2547.02</v>
      </c>
      <c r="H2122">
        <v>45698</v>
      </c>
    </row>
    <row r="2123" spans="1:12" x14ac:dyDescent="0.35">
      <c r="A2123" t="s">
        <v>599</v>
      </c>
      <c r="B2123" t="s">
        <v>750</v>
      </c>
      <c r="C2123" t="s">
        <v>302</v>
      </c>
      <c r="D2123" t="s">
        <v>155</v>
      </c>
      <c r="E2123">
        <v>2390</v>
      </c>
      <c r="F2123">
        <v>14016.65</v>
      </c>
      <c r="G2123">
        <v>7008.23</v>
      </c>
      <c r="H2123">
        <v>45698</v>
      </c>
    </row>
    <row r="2124" spans="1:12" x14ac:dyDescent="0.35">
      <c r="A2124" t="s">
        <v>599</v>
      </c>
      <c r="B2124" t="s">
        <v>751</v>
      </c>
      <c r="C2124" t="s">
        <v>302</v>
      </c>
      <c r="D2124" t="s">
        <v>155</v>
      </c>
      <c r="E2124">
        <v>9820</v>
      </c>
      <c r="F2124" t="s">
        <v>752</v>
      </c>
      <c r="G2124" t="s">
        <v>753</v>
      </c>
      <c r="H2124">
        <v>45821</v>
      </c>
    </row>
    <row r="2125" spans="1:12" x14ac:dyDescent="0.35">
      <c r="A2125" t="s">
        <v>599</v>
      </c>
      <c r="B2125" t="s">
        <v>748</v>
      </c>
      <c r="C2125" t="s">
        <v>302</v>
      </c>
      <c r="D2125" t="s">
        <v>155</v>
      </c>
      <c r="E2125">
        <v>10192</v>
      </c>
      <c r="F2125">
        <v>15558.6</v>
      </c>
      <c r="G2125">
        <v>7779.3</v>
      </c>
      <c r="H2125">
        <v>46045</v>
      </c>
    </row>
    <row r="2126" spans="1:12" x14ac:dyDescent="0.35">
      <c r="A2126" t="s">
        <v>634</v>
      </c>
      <c r="B2126" t="s">
        <v>720</v>
      </c>
      <c r="C2126" t="s">
        <v>302</v>
      </c>
      <c r="D2126" t="s">
        <v>155</v>
      </c>
      <c r="E2126">
        <v>1074</v>
      </c>
      <c r="F2126">
        <v>4959.7640000000001</v>
      </c>
      <c r="G2126">
        <v>2479.828</v>
      </c>
      <c r="H2126">
        <v>45819</v>
      </c>
    </row>
    <row r="2127" spans="1:12" x14ac:dyDescent="0.35">
      <c r="A2127" t="s">
        <v>634</v>
      </c>
      <c r="B2127" t="s">
        <v>748</v>
      </c>
      <c r="C2127" t="s">
        <v>302</v>
      </c>
      <c r="D2127" t="s">
        <v>155</v>
      </c>
      <c r="E2127">
        <v>894</v>
      </c>
      <c r="F2127">
        <v>1822.5250000000001</v>
      </c>
      <c r="G2127">
        <v>911.2627</v>
      </c>
      <c r="H2127">
        <v>46045</v>
      </c>
    </row>
    <row r="2128" spans="1:12" x14ac:dyDescent="0.35">
      <c r="A2128" t="s">
        <v>630</v>
      </c>
      <c r="B2128" t="s">
        <v>751</v>
      </c>
      <c r="C2128" t="s">
        <v>302</v>
      </c>
      <c r="D2128" t="s">
        <v>155</v>
      </c>
      <c r="E2128">
        <v>2806</v>
      </c>
      <c r="F2128">
        <v>15733.1</v>
      </c>
      <c r="G2128">
        <v>7866.549</v>
      </c>
      <c r="H2128">
        <v>45819</v>
      </c>
    </row>
    <row r="2129" spans="1:8" x14ac:dyDescent="0.35">
      <c r="A2129" t="s">
        <v>630</v>
      </c>
      <c r="B2129" t="s">
        <v>748</v>
      </c>
      <c r="C2129" t="s">
        <v>302</v>
      </c>
      <c r="D2129" t="s">
        <v>155</v>
      </c>
      <c r="E2129">
        <v>2520</v>
      </c>
      <c r="F2129">
        <v>5644.5510000000004</v>
      </c>
      <c r="G2129">
        <v>2822.2750000000001</v>
      </c>
      <c r="H2129">
        <v>46045</v>
      </c>
    </row>
    <row r="2130" spans="1:8" x14ac:dyDescent="0.35">
      <c r="A2130" t="s">
        <v>664</v>
      </c>
      <c r="B2130" t="s">
        <v>754</v>
      </c>
      <c r="C2130" t="s">
        <v>302</v>
      </c>
      <c r="D2130" t="s">
        <v>155</v>
      </c>
      <c r="E2130">
        <v>970</v>
      </c>
      <c r="F2130">
        <v>4647.68</v>
      </c>
      <c r="G2130">
        <v>2323.8560000000002</v>
      </c>
      <c r="H2130">
        <v>45819</v>
      </c>
    </row>
    <row r="2131" spans="1:8" x14ac:dyDescent="0.35">
      <c r="A2131" t="s">
        <v>664</v>
      </c>
      <c r="B2131" t="s">
        <v>748</v>
      </c>
      <c r="C2131" t="s">
        <v>302</v>
      </c>
      <c r="D2131" t="s">
        <v>155</v>
      </c>
      <c r="E2131">
        <v>562</v>
      </c>
      <c r="F2131">
        <v>619.47</v>
      </c>
      <c r="G2131">
        <v>309.73500000000001</v>
      </c>
      <c r="H2131">
        <v>46045</v>
      </c>
    </row>
    <row r="2132" spans="1:8" x14ac:dyDescent="0.35">
      <c r="A2132" t="s">
        <v>680</v>
      </c>
      <c r="B2132" t="s">
        <v>755</v>
      </c>
      <c r="C2132" t="s">
        <v>302</v>
      </c>
      <c r="D2132" t="s">
        <v>155</v>
      </c>
      <c r="E2132" t="s">
        <v>756</v>
      </c>
      <c r="F2132" t="s">
        <v>757</v>
      </c>
      <c r="G2132" t="s">
        <v>758</v>
      </c>
      <c r="H2132">
        <v>45820</v>
      </c>
    </row>
    <row r="2133" spans="1:8" x14ac:dyDescent="0.35">
      <c r="A2133" t="s">
        <v>680</v>
      </c>
      <c r="B2133" t="s">
        <v>748</v>
      </c>
      <c r="C2133" t="s">
        <v>302</v>
      </c>
      <c r="D2133" t="s">
        <v>155</v>
      </c>
      <c r="E2133">
        <v>63459</v>
      </c>
      <c r="F2133">
        <v>39732.080000000002</v>
      </c>
      <c r="G2133">
        <v>19866.04</v>
      </c>
      <c r="H2133">
        <v>46045</v>
      </c>
    </row>
    <row r="2134" spans="1:8" x14ac:dyDescent="0.35">
      <c r="A2134" t="s">
        <v>450</v>
      </c>
      <c r="B2134" t="s">
        <v>759</v>
      </c>
      <c r="C2134" t="s">
        <v>627</v>
      </c>
      <c r="D2134" t="s">
        <v>155</v>
      </c>
      <c r="E2134">
        <v>27610</v>
      </c>
      <c r="F2134">
        <v>33795.199999999997</v>
      </c>
      <c r="G2134">
        <v>16902.87</v>
      </c>
      <c r="H2134">
        <v>45820</v>
      </c>
    </row>
    <row r="2135" spans="1:8" x14ac:dyDescent="0.35">
      <c r="A2135" t="s">
        <v>450</v>
      </c>
      <c r="B2135" t="s">
        <v>748</v>
      </c>
      <c r="C2135" t="s">
        <v>627</v>
      </c>
      <c r="D2135" t="s">
        <v>155</v>
      </c>
      <c r="E2135">
        <v>27926</v>
      </c>
      <c r="F2135">
        <v>30193.9</v>
      </c>
      <c r="G2135">
        <v>15096.95</v>
      </c>
      <c r="H2135">
        <v>46045</v>
      </c>
    </row>
    <row r="2136" spans="1:8" x14ac:dyDescent="0.35">
      <c r="A2136" t="s">
        <v>647</v>
      </c>
      <c r="B2136" t="s">
        <v>760</v>
      </c>
      <c r="C2136" t="s">
        <v>302</v>
      </c>
      <c r="D2136" t="s">
        <v>155</v>
      </c>
      <c r="E2136">
        <v>19569</v>
      </c>
      <c r="F2136">
        <v>80919.58</v>
      </c>
      <c r="G2136">
        <v>40498.33</v>
      </c>
      <c r="H2136">
        <v>45821</v>
      </c>
    </row>
    <row r="2137" spans="1:8" x14ac:dyDescent="0.35">
      <c r="A2137" t="s">
        <v>647</v>
      </c>
      <c r="B2137" t="s">
        <v>761</v>
      </c>
      <c r="C2137" t="s">
        <v>302</v>
      </c>
      <c r="D2137" t="s">
        <v>155</v>
      </c>
      <c r="E2137">
        <v>8874</v>
      </c>
      <c r="F2137">
        <v>12627.13</v>
      </c>
      <c r="G2137">
        <v>6313.5630000000001</v>
      </c>
      <c r="H2137">
        <v>46045</v>
      </c>
    </row>
    <row r="2138" spans="1:8" x14ac:dyDescent="0.35">
      <c r="A2138" t="s">
        <v>400</v>
      </c>
      <c r="B2138" t="s">
        <v>760</v>
      </c>
      <c r="C2138" t="s">
        <v>302</v>
      </c>
      <c r="D2138" t="s">
        <v>155</v>
      </c>
      <c r="E2138">
        <v>20048</v>
      </c>
      <c r="F2138">
        <v>91734.89</v>
      </c>
      <c r="G2138">
        <v>59627.56</v>
      </c>
      <c r="H2138">
        <v>45819</v>
      </c>
    </row>
    <row r="2139" spans="1:8" x14ac:dyDescent="0.35">
      <c r="A2139" t="s">
        <v>400</v>
      </c>
      <c r="B2139" t="s">
        <v>748</v>
      </c>
      <c r="C2139" t="s">
        <v>302</v>
      </c>
      <c r="D2139" t="s">
        <v>155</v>
      </c>
      <c r="E2139">
        <v>12830</v>
      </c>
      <c r="F2139">
        <v>21664.13</v>
      </c>
      <c r="G2139">
        <v>14081.69</v>
      </c>
      <c r="H2139">
        <v>46045</v>
      </c>
    </row>
    <row r="2140" spans="1:8" x14ac:dyDescent="0.35">
      <c r="A2140" t="s">
        <v>405</v>
      </c>
      <c r="B2140" t="s">
        <v>762</v>
      </c>
      <c r="C2140" t="s">
        <v>627</v>
      </c>
      <c r="D2140" t="s">
        <v>155</v>
      </c>
      <c r="E2140">
        <v>13259</v>
      </c>
      <c r="F2140">
        <v>6451.2920000000004</v>
      </c>
      <c r="G2140">
        <v>3225.6460000000002</v>
      </c>
      <c r="H2140">
        <v>46045</v>
      </c>
    </row>
    <row r="2141" spans="1:8" x14ac:dyDescent="0.35">
      <c r="A2141" t="s">
        <v>162</v>
      </c>
      <c r="B2141" t="s">
        <v>728</v>
      </c>
      <c r="C2141" t="s">
        <v>627</v>
      </c>
      <c r="D2141" t="s">
        <v>155</v>
      </c>
      <c r="E2141">
        <v>2324</v>
      </c>
      <c r="F2141">
        <v>10994.98</v>
      </c>
      <c r="G2141">
        <v>6596.99</v>
      </c>
      <c r="H2141">
        <v>45820</v>
      </c>
    </row>
    <row r="2142" spans="1:8" x14ac:dyDescent="0.35">
      <c r="A2142" t="s">
        <v>162</v>
      </c>
      <c r="B2142" t="s">
        <v>748</v>
      </c>
      <c r="C2142" t="s">
        <v>627</v>
      </c>
      <c r="D2142" t="s">
        <v>155</v>
      </c>
      <c r="E2142">
        <v>10590</v>
      </c>
      <c r="F2142">
        <v>24133.040000000001</v>
      </c>
      <c r="G2142">
        <v>14479.8</v>
      </c>
      <c r="H2142">
        <v>46045</v>
      </c>
    </row>
    <row r="2143" spans="1:8" x14ac:dyDescent="0.35">
      <c r="A2143" t="s">
        <v>457</v>
      </c>
      <c r="B2143" t="s">
        <v>763</v>
      </c>
      <c r="C2143" t="s">
        <v>302</v>
      </c>
      <c r="D2143" t="s">
        <v>155</v>
      </c>
      <c r="E2143">
        <v>205</v>
      </c>
      <c r="F2143">
        <v>379.56569999999999</v>
      </c>
      <c r="G2143">
        <v>189.78</v>
      </c>
      <c r="H2143">
        <v>46045</v>
      </c>
    </row>
    <row r="2144" spans="1:8" x14ac:dyDescent="0.35">
      <c r="A2144" t="s">
        <v>457</v>
      </c>
      <c r="B2144" t="s">
        <v>764</v>
      </c>
      <c r="C2144" t="s">
        <v>302</v>
      </c>
      <c r="D2144" t="s">
        <v>155</v>
      </c>
      <c r="E2144">
        <v>219</v>
      </c>
      <c r="F2144">
        <v>656.48979999999995</v>
      </c>
      <c r="G2144">
        <v>328.24630000000002</v>
      </c>
      <c r="H2144">
        <v>46045</v>
      </c>
    </row>
    <row r="2145" spans="1:8" x14ac:dyDescent="0.35">
      <c r="A2145" t="s">
        <v>457</v>
      </c>
      <c r="B2145" t="s">
        <v>748</v>
      </c>
      <c r="C2145" t="s">
        <v>302</v>
      </c>
      <c r="D2145" t="s">
        <v>155</v>
      </c>
      <c r="E2145">
        <v>616</v>
      </c>
      <c r="F2145">
        <v>403.3657</v>
      </c>
      <c r="G2145">
        <v>201.68289999999999</v>
      </c>
      <c r="H2145">
        <v>46045</v>
      </c>
    </row>
    <row r="2146" spans="1:8" x14ac:dyDescent="0.35">
      <c r="A2146" t="s">
        <v>615</v>
      </c>
      <c r="B2146" t="s">
        <v>765</v>
      </c>
      <c r="C2146" t="s">
        <v>302</v>
      </c>
      <c r="D2146" t="s">
        <v>155</v>
      </c>
      <c r="E2146">
        <v>1178</v>
      </c>
      <c r="F2146">
        <v>5363.527</v>
      </c>
      <c r="G2146">
        <v>2681.7640000000001</v>
      </c>
      <c r="H2146">
        <v>46045</v>
      </c>
    </row>
    <row r="2147" spans="1:8" x14ac:dyDescent="0.35">
      <c r="A2147" t="s">
        <v>615</v>
      </c>
      <c r="B2147" t="s">
        <v>760</v>
      </c>
      <c r="C2147" t="s">
        <v>302</v>
      </c>
      <c r="D2147" t="s">
        <v>155</v>
      </c>
      <c r="E2147">
        <v>1472</v>
      </c>
      <c r="F2147">
        <v>7344.06</v>
      </c>
      <c r="G2147">
        <v>3672.0169999999998</v>
      </c>
      <c r="H2147">
        <v>46045</v>
      </c>
    </row>
    <row r="2148" spans="1:8" x14ac:dyDescent="0.35">
      <c r="A2148" t="s">
        <v>615</v>
      </c>
      <c r="B2148" t="s">
        <v>766</v>
      </c>
      <c r="C2148" t="s">
        <v>302</v>
      </c>
      <c r="D2148" t="s">
        <v>155</v>
      </c>
      <c r="E2148">
        <v>282</v>
      </c>
      <c r="F2148">
        <v>410.3415</v>
      </c>
      <c r="G2148">
        <v>205.17070000000001</v>
      </c>
      <c r="H2148">
        <v>46045</v>
      </c>
    </row>
    <row r="2149" spans="1:8" x14ac:dyDescent="0.35">
      <c r="A2149" t="s">
        <v>571</v>
      </c>
      <c r="B2149">
        <v>44986</v>
      </c>
      <c r="C2149" t="s">
        <v>302</v>
      </c>
      <c r="D2149" t="s">
        <v>155</v>
      </c>
      <c r="E2149">
        <v>102</v>
      </c>
      <c r="F2149">
        <v>193.64869999999999</v>
      </c>
      <c r="G2149">
        <v>96.824340000000007</v>
      </c>
      <c r="H2149">
        <v>45819</v>
      </c>
    </row>
    <row r="2150" spans="1:8" x14ac:dyDescent="0.35">
      <c r="A2150" t="s">
        <v>571</v>
      </c>
      <c r="B2150" t="s">
        <v>700</v>
      </c>
      <c r="C2150" t="s">
        <v>302</v>
      </c>
      <c r="D2150" t="s">
        <v>155</v>
      </c>
      <c r="E2150">
        <v>972</v>
      </c>
      <c r="F2150">
        <v>2557.0039999999999</v>
      </c>
      <c r="G2150">
        <v>1278.502</v>
      </c>
      <c r="H2150">
        <v>45819</v>
      </c>
    </row>
    <row r="2151" spans="1:8" x14ac:dyDescent="0.35">
      <c r="A2151" t="s">
        <v>571</v>
      </c>
      <c r="B2151" t="s">
        <v>720</v>
      </c>
      <c r="C2151" t="s">
        <v>302</v>
      </c>
      <c r="D2151" t="s">
        <v>155</v>
      </c>
      <c r="E2151">
        <v>1208</v>
      </c>
      <c r="F2151">
        <v>4097.2619999999997</v>
      </c>
      <c r="G2151">
        <v>2048.645</v>
      </c>
      <c r="H2151">
        <v>45819</v>
      </c>
    </row>
    <row r="2152" spans="1:8" x14ac:dyDescent="0.35">
      <c r="A2152" t="s">
        <v>571</v>
      </c>
      <c r="B2152" t="s">
        <v>748</v>
      </c>
      <c r="C2152" t="s">
        <v>302</v>
      </c>
      <c r="D2152" t="s">
        <v>155</v>
      </c>
      <c r="E2152">
        <v>831</v>
      </c>
      <c r="F2152">
        <v>1071.4880000000001</v>
      </c>
      <c r="G2152">
        <v>535.74400000000003</v>
      </c>
      <c r="H2152">
        <v>46045</v>
      </c>
    </row>
    <row r="2153" spans="1:8" x14ac:dyDescent="0.35">
      <c r="A2153" t="s">
        <v>388</v>
      </c>
      <c r="B2153" t="s">
        <v>767</v>
      </c>
      <c r="C2153" t="s">
        <v>627</v>
      </c>
      <c r="D2153" t="s">
        <v>155</v>
      </c>
      <c r="E2153">
        <v>6774</v>
      </c>
      <c r="F2153">
        <v>4506.9340000000002</v>
      </c>
      <c r="G2153">
        <v>2253.4670000000001</v>
      </c>
      <c r="H2153">
        <v>46072</v>
      </c>
    </row>
    <row r="2154" spans="1:8" x14ac:dyDescent="0.35">
      <c r="A2154" t="s">
        <v>680</v>
      </c>
      <c r="B2154" t="s">
        <v>768</v>
      </c>
      <c r="C2154" t="s">
        <v>302</v>
      </c>
      <c r="D2154" t="s">
        <v>155</v>
      </c>
      <c r="E2154">
        <v>21964</v>
      </c>
      <c r="F2154">
        <v>11207.78</v>
      </c>
      <c r="G2154">
        <v>5603.8879999999999</v>
      </c>
      <c r="H2154">
        <v>46071</v>
      </c>
    </row>
    <row r="2155" spans="1:8" x14ac:dyDescent="0.35">
      <c r="A2155" t="s">
        <v>162</v>
      </c>
      <c r="B2155" t="s">
        <v>768</v>
      </c>
      <c r="C2155" t="s">
        <v>627</v>
      </c>
      <c r="D2155" t="s">
        <v>155</v>
      </c>
      <c r="E2155">
        <v>3785</v>
      </c>
      <c r="F2155">
        <v>7337.5249999999996</v>
      </c>
      <c r="G2155">
        <v>4402.5150000000003</v>
      </c>
      <c r="H2155">
        <v>46072</v>
      </c>
    </row>
    <row r="2156" spans="1:8" x14ac:dyDescent="0.35">
      <c r="A2156" t="s">
        <v>602</v>
      </c>
      <c r="B2156" t="s">
        <v>768</v>
      </c>
      <c r="C2156" t="s">
        <v>627</v>
      </c>
      <c r="D2156" t="s">
        <v>155</v>
      </c>
      <c r="E2156">
        <v>3149</v>
      </c>
      <c r="F2156">
        <v>6453.2020000000002</v>
      </c>
      <c r="G2156">
        <v>3226.6010000000001</v>
      </c>
      <c r="H2156">
        <v>46072</v>
      </c>
    </row>
    <row r="2157" spans="1:8" x14ac:dyDescent="0.35">
      <c r="A2157" t="s">
        <v>400</v>
      </c>
      <c r="B2157" t="s">
        <v>768</v>
      </c>
      <c r="C2157" t="s">
        <v>302</v>
      </c>
      <c r="D2157" t="s">
        <v>155</v>
      </c>
      <c r="E2157">
        <v>3302</v>
      </c>
      <c r="F2157">
        <v>4498.1689999999999</v>
      </c>
      <c r="G2157">
        <v>2923.81</v>
      </c>
      <c r="H2157">
        <v>46072</v>
      </c>
    </row>
    <row r="2158" spans="1:8" x14ac:dyDescent="0.35">
      <c r="A2158" t="s">
        <v>450</v>
      </c>
      <c r="B2158" t="s">
        <v>768</v>
      </c>
      <c r="C2158" t="s">
        <v>627</v>
      </c>
      <c r="D2158" t="s">
        <v>155</v>
      </c>
      <c r="E2158">
        <v>5974</v>
      </c>
      <c r="F2158">
        <v>4280.4679999999998</v>
      </c>
      <c r="G2158">
        <v>2140.2339999999999</v>
      </c>
      <c r="H2158">
        <v>46072</v>
      </c>
    </row>
    <row r="2159" spans="1:8" x14ac:dyDescent="0.35">
      <c r="A2159" t="s">
        <v>599</v>
      </c>
      <c r="B2159" t="s">
        <v>768</v>
      </c>
      <c r="C2159" t="s">
        <v>302</v>
      </c>
      <c r="D2159" t="s">
        <v>155</v>
      </c>
      <c r="E2159">
        <v>2710</v>
      </c>
      <c r="F2159">
        <v>3045.799</v>
      </c>
      <c r="G2159">
        <v>1522.8989999999999</v>
      </c>
      <c r="H2159">
        <v>46072</v>
      </c>
    </row>
    <row r="2160" spans="1:8" x14ac:dyDescent="0.35">
      <c r="A2160" t="s">
        <v>405</v>
      </c>
      <c r="B2160" t="s">
        <v>768</v>
      </c>
      <c r="C2160" t="s">
        <v>627</v>
      </c>
      <c r="D2160" t="s">
        <v>155</v>
      </c>
      <c r="E2160">
        <v>4847</v>
      </c>
      <c r="F2160">
        <v>2454.038</v>
      </c>
      <c r="G2160">
        <v>1227.019</v>
      </c>
      <c r="H2160">
        <v>46072</v>
      </c>
    </row>
    <row r="2161" spans="1:12" x14ac:dyDescent="0.35">
      <c r="A2161" t="s">
        <v>630</v>
      </c>
      <c r="B2161" t="s">
        <v>768</v>
      </c>
      <c r="C2161" t="s">
        <v>302</v>
      </c>
      <c r="D2161" t="s">
        <v>155</v>
      </c>
      <c r="E2161">
        <v>926</v>
      </c>
      <c r="F2161">
        <v>1708.241</v>
      </c>
      <c r="G2161">
        <v>854.12070000000006</v>
      </c>
      <c r="H2161">
        <v>46072</v>
      </c>
    </row>
    <row r="2162" spans="1:12" x14ac:dyDescent="0.35">
      <c r="A2162" t="s">
        <v>664</v>
      </c>
      <c r="B2162" t="s">
        <v>768</v>
      </c>
      <c r="C2162" t="s">
        <v>302</v>
      </c>
      <c r="D2162" t="s">
        <v>155</v>
      </c>
      <c r="E2162">
        <v>809</v>
      </c>
      <c r="F2162">
        <v>445.4067</v>
      </c>
      <c r="G2162">
        <v>222.70330000000001</v>
      </c>
      <c r="H2162">
        <v>46072</v>
      </c>
    </row>
    <row r="2163" spans="1:12" x14ac:dyDescent="0.35">
      <c r="A2163" t="s">
        <v>634</v>
      </c>
      <c r="B2163" t="s">
        <v>768</v>
      </c>
      <c r="C2163" t="s">
        <v>302</v>
      </c>
      <c r="D2163" t="s">
        <v>155</v>
      </c>
      <c r="E2163">
        <v>159</v>
      </c>
      <c r="F2163">
        <v>300.67619999999999</v>
      </c>
      <c r="G2163">
        <v>150.3381</v>
      </c>
      <c r="H2163">
        <v>46072</v>
      </c>
    </row>
    <row r="2164" spans="1:12" x14ac:dyDescent="0.35">
      <c r="A2164" t="s">
        <v>457</v>
      </c>
      <c r="B2164" t="s">
        <v>768</v>
      </c>
      <c r="C2164" t="s">
        <v>302</v>
      </c>
      <c r="D2164" t="s">
        <v>155</v>
      </c>
      <c r="E2164">
        <v>356</v>
      </c>
      <c r="F2164">
        <v>203.52189999999999</v>
      </c>
      <c r="G2164">
        <v>101.76090000000001</v>
      </c>
      <c r="H2164">
        <v>46072</v>
      </c>
    </row>
    <row r="2165" spans="1:12" x14ac:dyDescent="0.35">
      <c r="A2165" t="s">
        <v>662</v>
      </c>
      <c r="B2165" t="s">
        <v>741</v>
      </c>
      <c r="C2165" t="s">
        <v>302</v>
      </c>
      <c r="D2165" t="s">
        <v>155</v>
      </c>
      <c r="E2165">
        <v>3135</v>
      </c>
      <c r="F2165">
        <v>2644.5340000000001</v>
      </c>
      <c r="G2165">
        <v>1322.2670000000001</v>
      </c>
      <c r="H2165">
        <v>46076</v>
      </c>
    </row>
    <row r="2166" spans="1:12" x14ac:dyDescent="0.35">
      <c r="A2166" t="s">
        <v>706</v>
      </c>
      <c r="B2166" t="s">
        <v>769</v>
      </c>
      <c r="C2166" t="s">
        <v>627</v>
      </c>
      <c r="D2166" t="s">
        <v>155</v>
      </c>
      <c r="E2166">
        <v>481</v>
      </c>
      <c r="F2166">
        <v>636.65959999999995</v>
      </c>
      <c r="G2166">
        <v>318.32979999999998</v>
      </c>
      <c r="H2166">
        <v>46076</v>
      </c>
    </row>
    <row r="2167" spans="1:12" x14ac:dyDescent="0.35">
      <c r="A2167" t="s">
        <v>649</v>
      </c>
      <c r="B2167" t="s">
        <v>769</v>
      </c>
      <c r="C2167" t="s">
        <v>627</v>
      </c>
      <c r="D2167" t="s">
        <v>155</v>
      </c>
      <c r="E2167">
        <v>1252</v>
      </c>
      <c r="F2167">
        <v>1507.3050000000001</v>
      </c>
      <c r="G2167">
        <v>904.38319999999999</v>
      </c>
      <c r="H2167">
        <v>46076</v>
      </c>
    </row>
    <row r="2168" spans="1:12" x14ac:dyDescent="0.35">
      <c r="A2168" t="s">
        <v>716</v>
      </c>
      <c r="B2168" t="s">
        <v>770</v>
      </c>
      <c r="C2168" t="s">
        <v>627</v>
      </c>
      <c r="D2168" t="s">
        <v>155</v>
      </c>
      <c r="E2168">
        <v>1508</v>
      </c>
      <c r="F2168">
        <v>2443.48</v>
      </c>
      <c r="G2168">
        <v>1221.74</v>
      </c>
      <c r="H2168">
        <v>46078</v>
      </c>
    </row>
    <row r="2169" spans="1:12" x14ac:dyDescent="0.35">
      <c r="A2169" t="s">
        <v>716</v>
      </c>
      <c r="B2169" t="s">
        <v>768</v>
      </c>
      <c r="C2169" t="s">
        <v>627</v>
      </c>
      <c r="D2169" t="s">
        <v>155</v>
      </c>
      <c r="E2169">
        <v>741</v>
      </c>
      <c r="F2169">
        <v>614.13800000000003</v>
      </c>
      <c r="G2169">
        <v>307.06900000000002</v>
      </c>
      <c r="H2169">
        <v>46078</v>
      </c>
    </row>
    <row r="2170" spans="1:12" x14ac:dyDescent="0.35">
      <c r="A2170" t="s">
        <v>673</v>
      </c>
      <c r="B2170" t="s">
        <v>771</v>
      </c>
      <c r="C2170" t="s">
        <v>302</v>
      </c>
      <c r="D2170" t="s">
        <v>155</v>
      </c>
      <c r="E2170">
        <v>15009</v>
      </c>
      <c r="F2170">
        <v>23202.38</v>
      </c>
      <c r="G2170">
        <v>11601.19</v>
      </c>
      <c r="H2170">
        <v>46078</v>
      </c>
    </row>
    <row r="2171" spans="1:12" x14ac:dyDescent="0.35">
      <c r="A2171" t="s">
        <v>673</v>
      </c>
      <c r="B2171" t="s">
        <v>741</v>
      </c>
      <c r="C2171" t="s">
        <v>302</v>
      </c>
      <c r="D2171" t="s">
        <v>155</v>
      </c>
      <c r="E2171">
        <v>2363</v>
      </c>
      <c r="F2171">
        <v>1657.9259999999999</v>
      </c>
      <c r="G2171">
        <v>828.96299999999997</v>
      </c>
      <c r="H2171">
        <v>46078</v>
      </c>
    </row>
    <row r="2172" spans="1:12" x14ac:dyDescent="0.35">
      <c r="A2172" t="s">
        <v>645</v>
      </c>
      <c r="B2172" t="s">
        <v>772</v>
      </c>
      <c r="C2172" t="s">
        <v>302</v>
      </c>
      <c r="D2172" t="s">
        <v>155</v>
      </c>
      <c r="E2172">
        <v>8121</v>
      </c>
      <c r="F2172">
        <v>14339.8</v>
      </c>
      <c r="G2172">
        <v>7169.9</v>
      </c>
      <c r="H2172">
        <v>46078</v>
      </c>
    </row>
    <row r="2173" spans="1:12" x14ac:dyDescent="0.35">
      <c r="A2173" t="s">
        <v>704</v>
      </c>
      <c r="B2173" t="s">
        <v>717</v>
      </c>
      <c r="C2173" t="s">
        <v>627</v>
      </c>
      <c r="D2173" t="s">
        <v>609</v>
      </c>
      <c r="E2173">
        <v>2672</v>
      </c>
      <c r="F2173">
        <v>109950.39999999999</v>
      </c>
      <c r="G2173">
        <v>54975.46</v>
      </c>
      <c r="H2173">
        <v>46078</v>
      </c>
    </row>
    <row r="2174" spans="1:12" x14ac:dyDescent="0.35">
      <c r="A2174" t="s">
        <v>704</v>
      </c>
      <c r="B2174" t="s">
        <v>773</v>
      </c>
      <c r="C2174" t="s">
        <v>627</v>
      </c>
      <c r="D2174" t="s">
        <v>609</v>
      </c>
      <c r="E2174">
        <v>2570</v>
      </c>
      <c r="F2174">
        <v>102176.8</v>
      </c>
      <c r="G2174">
        <v>51088.25</v>
      </c>
      <c r="H2174">
        <v>46078</v>
      </c>
    </row>
    <row r="2175" spans="1:12" x14ac:dyDescent="0.35">
      <c r="A2175" t="s">
        <v>555</v>
      </c>
      <c r="B2175" t="s">
        <v>774</v>
      </c>
      <c r="C2175" t="s">
        <v>627</v>
      </c>
      <c r="D2175" t="s">
        <v>155</v>
      </c>
      <c r="E2175">
        <v>6066</v>
      </c>
      <c r="F2175">
        <v>8768.3580000000002</v>
      </c>
      <c r="G2175">
        <v>4384.1790000000001</v>
      </c>
      <c r="H2175">
        <v>46085</v>
      </c>
      <c r="L2175">
        <v>46085</v>
      </c>
    </row>
    <row r="2176" spans="1:12" x14ac:dyDescent="0.35">
      <c r="A2176" t="s">
        <v>587</v>
      </c>
      <c r="B2176" t="s">
        <v>772</v>
      </c>
      <c r="C2176" t="s">
        <v>302</v>
      </c>
      <c r="D2176" t="s">
        <v>155</v>
      </c>
      <c r="E2176">
        <v>270075</v>
      </c>
      <c r="F2176">
        <v>488569.5</v>
      </c>
      <c r="G2176">
        <v>244284.79999999999</v>
      </c>
      <c r="H2176">
        <v>46086</v>
      </c>
    </row>
    <row r="2177" spans="1:12" x14ac:dyDescent="0.35">
      <c r="A2177" t="s">
        <v>601</v>
      </c>
      <c r="B2177" t="s">
        <v>775</v>
      </c>
      <c r="C2177" t="s">
        <v>302</v>
      </c>
      <c r="D2177" t="s">
        <v>155</v>
      </c>
      <c r="E2177">
        <v>2094</v>
      </c>
      <c r="F2177">
        <v>6631.7820000000002</v>
      </c>
      <c r="G2177">
        <v>3315.8910000000001</v>
      </c>
      <c r="H2177">
        <v>46087</v>
      </c>
    </row>
    <row r="2178" spans="1:12" x14ac:dyDescent="0.35">
      <c r="A2178" t="s">
        <v>601</v>
      </c>
      <c r="B2178" t="s">
        <v>776</v>
      </c>
      <c r="C2178" t="s">
        <v>302</v>
      </c>
      <c r="D2178" t="s">
        <v>155</v>
      </c>
      <c r="E2178">
        <v>54045</v>
      </c>
      <c r="F2178">
        <v>106580.9</v>
      </c>
      <c r="G2178">
        <v>53290.47</v>
      </c>
      <c r="H2178">
        <v>46087</v>
      </c>
    </row>
    <row r="2179" spans="1:12" x14ac:dyDescent="0.35">
      <c r="A2179" t="s">
        <v>704</v>
      </c>
      <c r="B2179" t="s">
        <v>777</v>
      </c>
      <c r="C2179" t="s">
        <v>627</v>
      </c>
      <c r="D2179" t="s">
        <v>609</v>
      </c>
      <c r="E2179">
        <v>3722</v>
      </c>
      <c r="F2179">
        <v>139681.70000000001</v>
      </c>
      <c r="G2179">
        <v>69840.86</v>
      </c>
      <c r="H2179">
        <v>46087</v>
      </c>
    </row>
    <row r="2180" spans="1:12" x14ac:dyDescent="0.35">
      <c r="A2180" t="s">
        <v>733</v>
      </c>
      <c r="B2180" t="s">
        <v>768</v>
      </c>
      <c r="C2180" t="s">
        <v>627</v>
      </c>
      <c r="D2180" t="s">
        <v>155</v>
      </c>
      <c r="E2180">
        <v>5515</v>
      </c>
      <c r="F2180">
        <v>9487.2659999999996</v>
      </c>
      <c r="G2180">
        <v>4743.6329999999998</v>
      </c>
      <c r="H2180">
        <v>46045</v>
      </c>
    </row>
    <row r="2181" spans="1:12" x14ac:dyDescent="0.35">
      <c r="A2181" t="s">
        <v>611</v>
      </c>
      <c r="B2181" t="s">
        <v>778</v>
      </c>
      <c r="C2181" t="s">
        <v>302</v>
      </c>
      <c r="D2181" t="s">
        <v>155</v>
      </c>
      <c r="E2181">
        <v>10415</v>
      </c>
      <c r="F2181">
        <v>28266.65</v>
      </c>
      <c r="G2181">
        <v>14133.32</v>
      </c>
      <c r="H2181">
        <v>46107</v>
      </c>
    </row>
    <row r="2182" spans="1:12" x14ac:dyDescent="0.35">
      <c r="A2182" t="s">
        <v>779</v>
      </c>
      <c r="B2182" t="s">
        <v>780</v>
      </c>
      <c r="C2182" t="s">
        <v>627</v>
      </c>
      <c r="D2182" t="s">
        <v>155</v>
      </c>
      <c r="E2182">
        <v>134</v>
      </c>
      <c r="F2182">
        <v>343.98200000000003</v>
      </c>
      <c r="G2182">
        <v>171.99100000000001</v>
      </c>
      <c r="H2182">
        <v>46190</v>
      </c>
      <c r="L2182">
        <v>46190</v>
      </c>
    </row>
    <row r="2183" spans="1:12" x14ac:dyDescent="0.35">
      <c r="A2183" t="s">
        <v>779</v>
      </c>
      <c r="B2183" t="s">
        <v>781</v>
      </c>
      <c r="C2183" t="s">
        <v>627</v>
      </c>
      <c r="D2183" t="s">
        <v>155</v>
      </c>
      <c r="E2183">
        <v>1463</v>
      </c>
      <c r="F2183">
        <v>3482.98</v>
      </c>
      <c r="G2183">
        <v>1741.491</v>
      </c>
      <c r="H2183">
        <v>46190</v>
      </c>
      <c r="L2183">
        <v>46190</v>
      </c>
    </row>
    <row r="2184" spans="1:12" x14ac:dyDescent="0.35">
      <c r="A2184" t="s">
        <v>779</v>
      </c>
      <c r="B2184" t="s">
        <v>782</v>
      </c>
      <c r="C2184" t="s">
        <v>627</v>
      </c>
      <c r="D2184" t="s">
        <v>155</v>
      </c>
      <c r="E2184">
        <v>2658</v>
      </c>
      <c r="F2184">
        <v>4628.09</v>
      </c>
      <c r="G2184">
        <v>2314.0219999999999</v>
      </c>
      <c r="H2184">
        <v>46190</v>
      </c>
      <c r="L2184">
        <v>46190</v>
      </c>
    </row>
    <row r="2185" spans="1:12" x14ac:dyDescent="0.35">
      <c r="A2185" t="s">
        <v>779</v>
      </c>
      <c r="B2185" t="s">
        <v>783</v>
      </c>
      <c r="C2185" t="s">
        <v>627</v>
      </c>
      <c r="D2185" t="s">
        <v>155</v>
      </c>
      <c r="E2185">
        <v>29030</v>
      </c>
      <c r="F2185">
        <v>16029.107690402998</v>
      </c>
      <c r="G2185">
        <v>8014.55</v>
      </c>
      <c r="H2185">
        <v>46190</v>
      </c>
      <c r="L2185">
        <v>46190</v>
      </c>
    </row>
    <row r="2186" spans="1:12" x14ac:dyDescent="0.35">
      <c r="A2186" t="s">
        <v>580</v>
      </c>
      <c r="B2186" t="s">
        <v>728</v>
      </c>
      <c r="C2186" t="s">
        <v>302</v>
      </c>
      <c r="D2186" t="s">
        <v>155</v>
      </c>
      <c r="E2186">
        <v>4017</v>
      </c>
      <c r="F2186">
        <v>17229.95</v>
      </c>
      <c r="G2186">
        <v>8750.7199999999993</v>
      </c>
      <c r="H2186">
        <v>45824</v>
      </c>
    </row>
    <row r="2187" spans="1:12" x14ac:dyDescent="0.35">
      <c r="A2187" t="s">
        <v>611</v>
      </c>
      <c r="B2187" t="s">
        <v>782</v>
      </c>
      <c r="C2187" t="s">
        <v>302</v>
      </c>
      <c r="D2187" t="s">
        <v>155</v>
      </c>
      <c r="E2187">
        <v>31555</v>
      </c>
      <c r="F2187">
        <v>65520.334999999999</v>
      </c>
      <c r="G2187">
        <v>32760.078000000001</v>
      </c>
      <c r="H2187">
        <v>46191</v>
      </c>
      <c r="L2187">
        <v>46191</v>
      </c>
    </row>
    <row r="2188" spans="1:12" x14ac:dyDescent="0.35">
      <c r="A2188" t="s">
        <v>574</v>
      </c>
      <c r="B2188" t="s">
        <v>784</v>
      </c>
      <c r="C2188" t="s">
        <v>627</v>
      </c>
      <c r="D2188" t="s">
        <v>155</v>
      </c>
      <c r="E2188">
        <v>320905</v>
      </c>
      <c r="F2188">
        <v>164472.20000000001</v>
      </c>
      <c r="G2188">
        <v>106906.95</v>
      </c>
      <c r="H2188">
        <v>46191</v>
      </c>
      <c r="L2188">
        <v>46191</v>
      </c>
    </row>
    <row r="2189" spans="1:12" x14ac:dyDescent="0.35">
      <c r="A2189" t="s">
        <v>602</v>
      </c>
      <c r="B2189" t="s">
        <v>784</v>
      </c>
      <c r="C2189" t="s">
        <v>627</v>
      </c>
      <c r="D2189" t="s">
        <v>155</v>
      </c>
      <c r="E2189">
        <v>13626</v>
      </c>
      <c r="F2189">
        <v>14226.81</v>
      </c>
      <c r="G2189">
        <v>7113.4</v>
      </c>
      <c r="H2189">
        <v>46191</v>
      </c>
      <c r="L2189">
        <v>46191</v>
      </c>
    </row>
    <row r="2190" spans="1:12" x14ac:dyDescent="0.35">
      <c r="A2190" t="s">
        <v>405</v>
      </c>
      <c r="B2190" t="s">
        <v>785</v>
      </c>
      <c r="C2190" t="s">
        <v>627</v>
      </c>
      <c r="D2190" t="s">
        <v>155</v>
      </c>
      <c r="E2190">
        <v>6915</v>
      </c>
      <c r="F2190">
        <v>2960.95</v>
      </c>
      <c r="G2190">
        <v>1480.47</v>
      </c>
      <c r="H2190">
        <v>46191</v>
      </c>
      <c r="L2190">
        <v>46191</v>
      </c>
    </row>
    <row r="2191" spans="1:12" x14ac:dyDescent="0.35">
      <c r="A2191" t="s">
        <v>680</v>
      </c>
      <c r="B2191" t="s">
        <v>786</v>
      </c>
      <c r="C2191" t="s">
        <v>302</v>
      </c>
      <c r="D2191" t="s">
        <v>155</v>
      </c>
      <c r="E2191">
        <v>46962</v>
      </c>
      <c r="F2191">
        <v>19855.89</v>
      </c>
      <c r="G2191">
        <v>9927.94</v>
      </c>
      <c r="H2191">
        <v>46191</v>
      </c>
      <c r="L2191">
        <v>46191</v>
      </c>
    </row>
    <row r="2192" spans="1:12" x14ac:dyDescent="0.35">
      <c r="A2192" t="s">
        <v>450</v>
      </c>
      <c r="B2192" t="s">
        <v>787</v>
      </c>
      <c r="C2192" t="s">
        <v>627</v>
      </c>
      <c r="D2192" t="s">
        <v>155</v>
      </c>
      <c r="E2192">
        <v>10946</v>
      </c>
      <c r="F2192">
        <v>7291.03</v>
      </c>
      <c r="G2192">
        <v>3645.51</v>
      </c>
      <c r="H2192">
        <v>46191</v>
      </c>
      <c r="L2192">
        <v>46191</v>
      </c>
    </row>
    <row r="2193" spans="1:12" x14ac:dyDescent="0.35">
      <c r="A2193" t="s">
        <v>528</v>
      </c>
      <c r="B2193" t="s">
        <v>788</v>
      </c>
      <c r="C2193" t="s">
        <v>302</v>
      </c>
      <c r="D2193" t="s">
        <v>155</v>
      </c>
      <c r="E2193">
        <v>37</v>
      </c>
      <c r="F2193">
        <v>134.38</v>
      </c>
      <c r="G2193">
        <v>67.19</v>
      </c>
      <c r="H2193">
        <v>45820</v>
      </c>
    </row>
    <row r="2194" spans="1:12" x14ac:dyDescent="0.35">
      <c r="A2194" t="s">
        <v>528</v>
      </c>
      <c r="B2194" t="s">
        <v>700</v>
      </c>
      <c r="C2194" t="s">
        <v>302</v>
      </c>
      <c r="D2194" t="s">
        <v>155</v>
      </c>
      <c r="E2194">
        <v>523</v>
      </c>
      <c r="F2194">
        <v>1532.37</v>
      </c>
      <c r="G2194">
        <v>766.19</v>
      </c>
      <c r="H2194">
        <v>45820</v>
      </c>
    </row>
    <row r="2195" spans="1:12" x14ac:dyDescent="0.35">
      <c r="A2195" t="s">
        <v>528</v>
      </c>
      <c r="B2195" t="s">
        <v>720</v>
      </c>
      <c r="C2195" t="s">
        <v>302</v>
      </c>
      <c r="D2195" t="s">
        <v>155</v>
      </c>
      <c r="E2195">
        <v>1083</v>
      </c>
      <c r="F2195">
        <v>4649.43</v>
      </c>
      <c r="G2195">
        <v>2324.69</v>
      </c>
      <c r="H2195">
        <v>45820</v>
      </c>
    </row>
    <row r="2196" spans="1:12" x14ac:dyDescent="0.35">
      <c r="A2196" t="s">
        <v>685</v>
      </c>
      <c r="B2196" t="s">
        <v>784</v>
      </c>
      <c r="C2196" t="s">
        <v>627</v>
      </c>
      <c r="D2196" t="s">
        <v>155</v>
      </c>
      <c r="E2196">
        <v>66737</v>
      </c>
      <c r="F2196">
        <v>74910.2</v>
      </c>
      <c r="G2196">
        <v>37455.1</v>
      </c>
      <c r="H2196">
        <v>46191</v>
      </c>
      <c r="L2196">
        <v>46191</v>
      </c>
    </row>
    <row r="2197" spans="1:12" x14ac:dyDescent="0.35">
      <c r="A2197" t="s">
        <v>388</v>
      </c>
      <c r="B2197" t="s">
        <v>789</v>
      </c>
      <c r="C2197" t="s">
        <v>627</v>
      </c>
      <c r="D2197" t="s">
        <v>155</v>
      </c>
      <c r="E2197">
        <v>12632</v>
      </c>
      <c r="F2197">
        <v>6453</v>
      </c>
      <c r="G2197">
        <v>3227</v>
      </c>
      <c r="H2197">
        <v>46191</v>
      </c>
      <c r="L2197">
        <v>46191</v>
      </c>
    </row>
    <row r="2198" spans="1:12" x14ac:dyDescent="0.35">
      <c r="A2198" t="s">
        <v>564</v>
      </c>
      <c r="B2198" t="s">
        <v>784</v>
      </c>
      <c r="C2198" t="s">
        <v>627</v>
      </c>
      <c r="D2198" t="s">
        <v>155</v>
      </c>
      <c r="E2198">
        <v>212238</v>
      </c>
      <c r="F2198">
        <v>133112.29</v>
      </c>
      <c r="G2198">
        <v>66556.14</v>
      </c>
      <c r="H2198">
        <v>46191</v>
      </c>
      <c r="L2198">
        <v>46191</v>
      </c>
    </row>
    <row r="2199" spans="1:12" x14ac:dyDescent="0.35">
      <c r="A2199" t="s">
        <v>662</v>
      </c>
      <c r="B2199" t="s">
        <v>784</v>
      </c>
      <c r="C2199" t="s">
        <v>302</v>
      </c>
      <c r="D2199" t="s">
        <v>155</v>
      </c>
      <c r="E2199">
        <v>5713</v>
      </c>
      <c r="F2199">
        <v>3637.58</v>
      </c>
      <c r="G2199">
        <v>1818.79</v>
      </c>
      <c r="H2199">
        <v>46191</v>
      </c>
      <c r="L2199">
        <v>46191</v>
      </c>
    </row>
    <row r="2200" spans="1:12" x14ac:dyDescent="0.35">
      <c r="A2200" t="s">
        <v>649</v>
      </c>
      <c r="B2200" t="s">
        <v>790</v>
      </c>
      <c r="C2200" t="s">
        <v>627</v>
      </c>
      <c r="D2200" t="s">
        <v>155</v>
      </c>
      <c r="E2200">
        <v>1760</v>
      </c>
      <c r="F2200">
        <v>2336.88</v>
      </c>
      <c r="G2200">
        <v>1402.12</v>
      </c>
      <c r="H2200">
        <v>46191</v>
      </c>
      <c r="L2200">
        <v>46191</v>
      </c>
    </row>
    <row r="2201" spans="1:12" x14ac:dyDescent="0.35">
      <c r="A2201" t="s">
        <v>634</v>
      </c>
      <c r="B2201" t="s">
        <v>784</v>
      </c>
      <c r="C2201" t="s">
        <v>302</v>
      </c>
      <c r="D2201" t="s">
        <v>155</v>
      </c>
      <c r="E2201">
        <v>559</v>
      </c>
      <c r="F2201">
        <v>799.49</v>
      </c>
      <c r="G2201">
        <v>399.74</v>
      </c>
      <c r="H2201">
        <v>46191</v>
      </c>
      <c r="L2201">
        <v>46191</v>
      </c>
    </row>
    <row r="2202" spans="1:12" x14ac:dyDescent="0.35">
      <c r="A2202" t="s">
        <v>630</v>
      </c>
      <c r="B2202" t="s">
        <v>784</v>
      </c>
      <c r="C2202" t="s">
        <v>302</v>
      </c>
      <c r="D2202" t="s">
        <v>155</v>
      </c>
      <c r="E2202">
        <v>3263</v>
      </c>
      <c r="F2202">
        <v>4359.45</v>
      </c>
      <c r="G2202">
        <v>2179.7199999999998</v>
      </c>
      <c r="H2202">
        <v>46191</v>
      </c>
      <c r="L2202">
        <v>46191</v>
      </c>
    </row>
    <row r="2203" spans="1:12" x14ac:dyDescent="0.35">
      <c r="A2203" t="s">
        <v>664</v>
      </c>
      <c r="B2203" t="s">
        <v>791</v>
      </c>
      <c r="C2203" t="s">
        <v>302</v>
      </c>
      <c r="D2203" t="s">
        <v>155</v>
      </c>
      <c r="E2203">
        <v>183</v>
      </c>
      <c r="F2203">
        <v>88.915000000000006</v>
      </c>
      <c r="G2203">
        <v>44.457000000000001</v>
      </c>
      <c r="H2203">
        <v>46191</v>
      </c>
      <c r="L2203">
        <v>46191</v>
      </c>
    </row>
    <row r="2204" spans="1:12" x14ac:dyDescent="0.35">
      <c r="A2204" t="s">
        <v>457</v>
      </c>
      <c r="B2204" t="s">
        <v>792</v>
      </c>
      <c r="C2204" t="s">
        <v>302</v>
      </c>
      <c r="D2204" t="s">
        <v>155</v>
      </c>
      <c r="E2204">
        <v>945</v>
      </c>
      <c r="F2204">
        <v>422.35700000000003</v>
      </c>
      <c r="G2204">
        <v>211.178</v>
      </c>
      <c r="H2204">
        <v>46191</v>
      </c>
      <c r="L2204">
        <v>46191</v>
      </c>
    </row>
    <row r="2205" spans="1:12" x14ac:dyDescent="0.35">
      <c r="A2205" t="s">
        <v>673</v>
      </c>
      <c r="B2205" t="s">
        <v>793</v>
      </c>
      <c r="C2205" t="s">
        <v>302</v>
      </c>
      <c r="D2205" t="s">
        <v>155</v>
      </c>
      <c r="E2205">
        <v>3163</v>
      </c>
      <c r="F2205">
        <v>2700.2451841859893</v>
      </c>
      <c r="G2205">
        <v>1350.123</v>
      </c>
      <c r="H2205">
        <v>46191</v>
      </c>
      <c r="L2205">
        <v>46191</v>
      </c>
    </row>
    <row r="2206" spans="1:12" x14ac:dyDescent="0.35">
      <c r="A2206" t="s">
        <v>673</v>
      </c>
      <c r="B2206" t="s">
        <v>794</v>
      </c>
      <c r="C2206" t="s">
        <v>302</v>
      </c>
      <c r="D2206" t="s">
        <v>155</v>
      </c>
      <c r="E2206">
        <v>1</v>
      </c>
      <c r="F2206">
        <v>0.39246199999999998</v>
      </c>
      <c r="G2206">
        <v>0.19623099999999999</v>
      </c>
      <c r="H2206">
        <v>46191</v>
      </c>
      <c r="L2206">
        <v>46191</v>
      </c>
    </row>
    <row r="2207" spans="1:12" x14ac:dyDescent="0.35">
      <c r="A2207" t="s">
        <v>615</v>
      </c>
      <c r="B2207" t="s">
        <v>795</v>
      </c>
      <c r="C2207" t="s">
        <v>302</v>
      </c>
      <c r="D2207" t="s">
        <v>155</v>
      </c>
      <c r="E2207">
        <v>342</v>
      </c>
      <c r="F2207">
        <v>328.44159999999999</v>
      </c>
      <c r="G2207">
        <v>164.2208</v>
      </c>
      <c r="H2207">
        <v>46191</v>
      </c>
      <c r="L2207">
        <v>46191</v>
      </c>
    </row>
    <row r="2208" spans="1:12" x14ac:dyDescent="0.35">
      <c r="A2208" t="s">
        <v>645</v>
      </c>
      <c r="B2208" t="s">
        <v>796</v>
      </c>
      <c r="C2208" t="s">
        <v>302</v>
      </c>
      <c r="D2208" t="s">
        <v>155</v>
      </c>
      <c r="E2208">
        <v>5845</v>
      </c>
      <c r="F2208">
        <v>7574.5881710489903</v>
      </c>
      <c r="G2208">
        <v>3787.2940855059906</v>
      </c>
      <c r="H2208">
        <v>46191</v>
      </c>
      <c r="L2208">
        <v>46191</v>
      </c>
    </row>
    <row r="2209" spans="1:12" x14ac:dyDescent="0.35">
      <c r="A2209" t="s">
        <v>400</v>
      </c>
      <c r="B2209" t="s">
        <v>784</v>
      </c>
      <c r="C2209" t="s">
        <v>302</v>
      </c>
      <c r="D2209" t="s">
        <v>155</v>
      </c>
      <c r="E2209">
        <v>9552</v>
      </c>
      <c r="F2209">
        <v>9160.8387613529594</v>
      </c>
      <c r="G2209">
        <v>5954.5451948959999</v>
      </c>
      <c r="H2209">
        <v>46191</v>
      </c>
      <c r="L2209">
        <v>46191</v>
      </c>
    </row>
    <row r="2210" spans="1:12" x14ac:dyDescent="0.35">
      <c r="A2210" t="s">
        <v>599</v>
      </c>
      <c r="B2210" t="s">
        <v>784</v>
      </c>
      <c r="C2210" t="s">
        <v>302</v>
      </c>
      <c r="D2210" t="s">
        <v>155</v>
      </c>
      <c r="E2210">
        <v>3831</v>
      </c>
      <c r="F2210">
        <v>5286.0295308889999</v>
      </c>
      <c r="G2210">
        <v>2643.0147654849989</v>
      </c>
      <c r="H2210">
        <v>46191</v>
      </c>
      <c r="L2210">
        <v>46191</v>
      </c>
    </row>
    <row r="2211" spans="1:12" x14ac:dyDescent="0.35">
      <c r="A2211" t="s">
        <v>162</v>
      </c>
      <c r="B2211" t="s">
        <v>792</v>
      </c>
      <c r="C2211" t="s">
        <v>627</v>
      </c>
      <c r="D2211" t="s">
        <v>155</v>
      </c>
      <c r="E2211">
        <v>10528</v>
      </c>
      <c r="F2211">
        <v>14747.158067357979</v>
      </c>
      <c r="G2211">
        <v>8848.2948404439885</v>
      </c>
      <c r="H2211">
        <v>46191</v>
      </c>
      <c r="L2211">
        <v>46191</v>
      </c>
    </row>
    <row r="2212" spans="1:12" x14ac:dyDescent="0.35">
      <c r="A2212" t="s">
        <v>525</v>
      </c>
      <c r="B2212" t="s">
        <v>797</v>
      </c>
      <c r="C2212" t="s">
        <v>302</v>
      </c>
      <c r="D2212" t="s">
        <v>155</v>
      </c>
      <c r="E2212">
        <v>41380</v>
      </c>
      <c r="F2212">
        <v>145810.39000000001</v>
      </c>
      <c r="G2212">
        <v>87486.23</v>
      </c>
      <c r="H2212">
        <v>46191</v>
      </c>
      <c r="L2212">
        <v>46191</v>
      </c>
    </row>
    <row r="2213" spans="1:12" x14ac:dyDescent="0.35">
      <c r="A2213" t="s">
        <v>525</v>
      </c>
      <c r="B2213" t="s">
        <v>701</v>
      </c>
      <c r="C2213" t="s">
        <v>302</v>
      </c>
      <c r="D2213" t="s">
        <v>155</v>
      </c>
      <c r="E2213">
        <v>18538</v>
      </c>
      <c r="F2213">
        <v>97828.52</v>
      </c>
      <c r="G2213">
        <v>58697.16</v>
      </c>
      <c r="H2213">
        <v>46191</v>
      </c>
      <c r="L2213">
        <v>46191</v>
      </c>
    </row>
    <row r="2214" spans="1:12" ht="16.5" x14ac:dyDescent="0.35">
      <c r="A2214" t="s">
        <v>798</v>
      </c>
      <c r="B2214" t="s">
        <v>768</v>
      </c>
      <c r="C2214" t="s">
        <v>302</v>
      </c>
      <c r="D2214" t="s">
        <v>155</v>
      </c>
      <c r="E2214">
        <v>12307</v>
      </c>
      <c r="F2214">
        <v>10516.22</v>
      </c>
      <c r="G2214">
        <v>5258.1090000000004</v>
      </c>
      <c r="H2214">
        <v>46191</v>
      </c>
      <c r="L2214">
        <v>46191</v>
      </c>
    </row>
    <row r="2215" spans="1:12" ht="16.5" x14ac:dyDescent="0.35">
      <c r="A2215" t="s">
        <v>798</v>
      </c>
      <c r="B2215" t="s">
        <v>784</v>
      </c>
      <c r="C2215" t="s">
        <v>302</v>
      </c>
      <c r="D2215" t="s">
        <v>155</v>
      </c>
      <c r="E2215">
        <v>20685</v>
      </c>
      <c r="F2215">
        <v>11648.93</v>
      </c>
      <c r="G2215">
        <v>5824</v>
      </c>
      <c r="H2215">
        <v>46191</v>
      </c>
      <c r="L2215">
        <v>46191</v>
      </c>
    </row>
    <row r="2216" spans="1:12" x14ac:dyDescent="0.35">
      <c r="A2216" t="s">
        <v>733</v>
      </c>
      <c r="B2216" t="s">
        <v>784</v>
      </c>
      <c r="C2216" t="s">
        <v>627</v>
      </c>
      <c r="D2216" t="s">
        <v>155</v>
      </c>
      <c r="E2216">
        <v>12943</v>
      </c>
      <c r="F2216">
        <v>16157.396253854982</v>
      </c>
      <c r="G2216">
        <f>ROUND(8078.69812639499,0)</f>
        <v>8079</v>
      </c>
      <c r="H2216">
        <v>46191</v>
      </c>
      <c r="L2216">
        <v>46191</v>
      </c>
    </row>
    <row r="2217" spans="1:12" x14ac:dyDescent="0.35">
      <c r="A2217" t="s">
        <v>706</v>
      </c>
      <c r="B2217" t="s">
        <v>784</v>
      </c>
      <c r="C2217" t="s">
        <v>627</v>
      </c>
      <c r="D2217" t="s">
        <v>155</v>
      </c>
      <c r="E2217">
        <v>865</v>
      </c>
      <c r="F2217">
        <v>775.91150000000005</v>
      </c>
      <c r="G2217">
        <v>387.95580000000001</v>
      </c>
      <c r="H2217">
        <v>46191</v>
      </c>
      <c r="L2217">
        <v>46191</v>
      </c>
    </row>
    <row r="2218" spans="1:12" x14ac:dyDescent="0.35">
      <c r="A2218" t="s">
        <v>716</v>
      </c>
      <c r="B2218" t="s">
        <v>799</v>
      </c>
      <c r="C2218" t="s">
        <v>627</v>
      </c>
      <c r="D2218" t="s">
        <v>155</v>
      </c>
      <c r="E2218">
        <v>778</v>
      </c>
      <c r="F2218">
        <v>622.720238806</v>
      </c>
      <c r="G2218">
        <v>311.36011939100001</v>
      </c>
      <c r="H2218">
        <v>46191</v>
      </c>
      <c r="L2218">
        <v>46191</v>
      </c>
    </row>
    <row r="2219" spans="1:12" x14ac:dyDescent="0.35">
      <c r="A2219" t="s">
        <v>587</v>
      </c>
      <c r="B2219" t="s">
        <v>784</v>
      </c>
      <c r="C2219" t="s">
        <v>302</v>
      </c>
      <c r="D2219" t="s">
        <v>155</v>
      </c>
      <c r="E2219">
        <v>413271</v>
      </c>
      <c r="F2219">
        <v>416651</v>
      </c>
      <c r="G2219">
        <v>208325</v>
      </c>
      <c r="H2219">
        <v>46196</v>
      </c>
      <c r="L2219">
        <v>46196</v>
      </c>
    </row>
    <row r="2220" spans="1:12" x14ac:dyDescent="0.35">
      <c r="A2220" t="s">
        <v>800</v>
      </c>
      <c r="B2220" t="s">
        <v>784</v>
      </c>
      <c r="C2220" t="s">
        <v>302</v>
      </c>
      <c r="D2220" t="s">
        <v>155</v>
      </c>
      <c r="E2220">
        <v>370</v>
      </c>
      <c r="F2220">
        <v>521</v>
      </c>
      <c r="G2220">
        <v>261</v>
      </c>
      <c r="H2220">
        <v>46198</v>
      </c>
      <c r="L2220">
        <v>46198</v>
      </c>
    </row>
    <row r="2221" spans="1:12" x14ac:dyDescent="0.35">
      <c r="A2221" t="s">
        <v>801</v>
      </c>
      <c r="B2221" t="s">
        <v>802</v>
      </c>
      <c r="C2221" t="s">
        <v>302</v>
      </c>
      <c r="D2221" t="s">
        <v>155</v>
      </c>
      <c r="E2221">
        <v>1075</v>
      </c>
      <c r="F2221">
        <v>4474</v>
      </c>
      <c r="G2221">
        <v>2237</v>
      </c>
      <c r="H2221">
        <v>46198</v>
      </c>
      <c r="L2221">
        <v>46198</v>
      </c>
    </row>
    <row r="2222" spans="1:12" x14ac:dyDescent="0.35">
      <c r="A2222" t="s">
        <v>801</v>
      </c>
      <c r="B2222" t="s">
        <v>803</v>
      </c>
      <c r="C2222" t="s">
        <v>302</v>
      </c>
      <c r="D2222" t="s">
        <v>155</v>
      </c>
      <c r="E2222">
        <v>66485</v>
      </c>
      <c r="F2222">
        <v>103662</v>
      </c>
      <c r="G2222">
        <v>51831</v>
      </c>
      <c r="H2222">
        <v>46198</v>
      </c>
      <c r="L2222">
        <v>46198</v>
      </c>
    </row>
    <row r="2223" spans="1:12" x14ac:dyDescent="0.35">
      <c r="A2223" t="s">
        <v>575</v>
      </c>
      <c r="B2223" t="s">
        <v>741</v>
      </c>
      <c r="C2223" t="s">
        <v>627</v>
      </c>
      <c r="D2223" t="s">
        <v>155</v>
      </c>
      <c r="E2223">
        <v>56693</v>
      </c>
      <c r="F2223">
        <v>52315.75</v>
      </c>
      <c r="G2223">
        <v>26157</v>
      </c>
      <c r="H2223">
        <v>46085</v>
      </c>
      <c r="L2223">
        <v>46085</v>
      </c>
    </row>
    <row r="2224" spans="1:12" x14ac:dyDescent="0.35">
      <c r="A2224" t="s">
        <v>575</v>
      </c>
      <c r="B2224" t="s">
        <v>784</v>
      </c>
      <c r="C2224" t="s">
        <v>627</v>
      </c>
      <c r="D2224" t="s">
        <v>155</v>
      </c>
      <c r="E2224">
        <v>146765</v>
      </c>
      <c r="F2224">
        <v>115240</v>
      </c>
      <c r="G2224">
        <v>57620</v>
      </c>
      <c r="H2224">
        <v>46198</v>
      </c>
      <c r="L2224">
        <v>46198</v>
      </c>
    </row>
    <row r="2225" spans="1:12" x14ac:dyDescent="0.35">
      <c r="A2225" t="s">
        <v>695</v>
      </c>
      <c r="B2225" t="s">
        <v>775</v>
      </c>
      <c r="C2225" t="s">
        <v>302</v>
      </c>
      <c r="D2225" t="s">
        <v>155</v>
      </c>
      <c r="E2225">
        <v>7073</v>
      </c>
      <c r="F2225">
        <v>14674.97</v>
      </c>
      <c r="G2225">
        <v>7337.48</v>
      </c>
      <c r="H2225">
        <v>45824</v>
      </c>
      <c r="L2225">
        <v>45824</v>
      </c>
    </row>
    <row r="2226" spans="1:12" x14ac:dyDescent="0.35">
      <c r="A2226" t="s">
        <v>555</v>
      </c>
      <c r="B2226" t="s">
        <v>804</v>
      </c>
      <c r="C2226" t="s">
        <v>627</v>
      </c>
      <c r="D2226" t="s">
        <v>155</v>
      </c>
      <c r="E2226">
        <v>1565</v>
      </c>
      <c r="F2226">
        <v>1936</v>
      </c>
      <c r="G2226">
        <v>968</v>
      </c>
      <c r="H2226">
        <v>46198</v>
      </c>
      <c r="L2226">
        <v>46198</v>
      </c>
    </row>
    <row r="2227" spans="1:12" x14ac:dyDescent="0.35">
      <c r="A2227" t="s">
        <v>695</v>
      </c>
      <c r="B2227" t="s">
        <v>805</v>
      </c>
      <c r="C2227" t="s">
        <v>302</v>
      </c>
      <c r="D2227" t="s">
        <v>155</v>
      </c>
      <c r="E2227">
        <v>13130</v>
      </c>
      <c r="F2227">
        <v>9172</v>
      </c>
      <c r="G2227">
        <v>4586</v>
      </c>
      <c r="H2227">
        <v>46198</v>
      </c>
      <c r="L2227">
        <v>46198</v>
      </c>
    </row>
    <row r="2228" spans="1:12" x14ac:dyDescent="0.35">
      <c r="A2228" t="s">
        <v>743</v>
      </c>
      <c r="B2228" t="s">
        <v>792</v>
      </c>
      <c r="C2228" t="s">
        <v>627</v>
      </c>
      <c r="D2228" t="s">
        <v>155</v>
      </c>
      <c r="E2228">
        <v>148803</v>
      </c>
      <c r="F2228">
        <v>71595</v>
      </c>
      <c r="G2228">
        <v>35797</v>
      </c>
      <c r="H2228">
        <v>46198</v>
      </c>
      <c r="L2228">
        <v>46198</v>
      </c>
    </row>
    <row r="2229" spans="1:12" x14ac:dyDescent="0.35">
      <c r="A2229" t="s">
        <v>806</v>
      </c>
      <c r="B2229" t="s">
        <v>807</v>
      </c>
      <c r="C2229" t="s">
        <v>627</v>
      </c>
      <c r="D2229" t="s">
        <v>155</v>
      </c>
      <c r="E2229">
        <v>422</v>
      </c>
      <c r="F2229">
        <v>1070</v>
      </c>
      <c r="G2229">
        <v>428</v>
      </c>
    </row>
    <row r="2230" spans="1:12" x14ac:dyDescent="0.35">
      <c r="A2230" t="s">
        <v>808</v>
      </c>
      <c r="B2230" t="s">
        <v>809</v>
      </c>
      <c r="C2230" t="s">
        <v>627</v>
      </c>
      <c r="D2230" t="s">
        <v>155</v>
      </c>
      <c r="E2230">
        <v>62</v>
      </c>
      <c r="F2230">
        <v>152</v>
      </c>
      <c r="G2230">
        <v>61</v>
      </c>
    </row>
    <row r="2231" spans="1:12" x14ac:dyDescent="0.35">
      <c r="A2231" t="s">
        <v>697</v>
      </c>
      <c r="B2231" t="s">
        <v>810</v>
      </c>
      <c r="C2231" t="s">
        <v>627</v>
      </c>
      <c r="D2231" t="s">
        <v>155</v>
      </c>
      <c r="E2231">
        <v>599</v>
      </c>
      <c r="F2231">
        <v>1786.4380000000001</v>
      </c>
      <c r="G2231">
        <v>893</v>
      </c>
      <c r="H2231">
        <v>46212</v>
      </c>
      <c r="L2231">
        <v>46212</v>
      </c>
    </row>
    <row r="2232" spans="1:12" x14ac:dyDescent="0.35">
      <c r="A2232" t="s">
        <v>811</v>
      </c>
      <c r="B2232" t="s">
        <v>812</v>
      </c>
      <c r="C2232" t="s">
        <v>627</v>
      </c>
      <c r="D2232" t="s">
        <v>155</v>
      </c>
      <c r="E2232">
        <v>1696</v>
      </c>
      <c r="F2232">
        <v>2108</v>
      </c>
      <c r="G2232">
        <v>1054</v>
      </c>
      <c r="H2232">
        <v>46212</v>
      </c>
      <c r="L2232">
        <v>46212</v>
      </c>
    </row>
    <row r="2233" spans="1:12" x14ac:dyDescent="0.35">
      <c r="A2233" t="s">
        <v>813</v>
      </c>
      <c r="B2233" t="s">
        <v>814</v>
      </c>
      <c r="C2233" t="s">
        <v>627</v>
      </c>
      <c r="D2233" t="s">
        <v>155</v>
      </c>
      <c r="E2233">
        <v>1272</v>
      </c>
      <c r="F2233">
        <v>1906.8240000000001</v>
      </c>
      <c r="G2233">
        <v>953.41189999999995</v>
      </c>
      <c r="H2233">
        <v>46211</v>
      </c>
      <c r="L2233">
        <v>46211</v>
      </c>
    </row>
    <row r="2234" spans="1:12" x14ac:dyDescent="0.35">
      <c r="A2234" t="s">
        <v>704</v>
      </c>
      <c r="B2234" t="s">
        <v>815</v>
      </c>
      <c r="C2234" t="s">
        <v>627</v>
      </c>
      <c r="D2234" t="s">
        <v>609</v>
      </c>
      <c r="E2234">
        <v>4246</v>
      </c>
      <c r="F2234">
        <v>154979.70000000001</v>
      </c>
      <c r="G2234">
        <v>77489</v>
      </c>
      <c r="H2234">
        <v>46209</v>
      </c>
      <c r="L2234">
        <v>46209</v>
      </c>
    </row>
    <row r="2235" spans="1:12" x14ac:dyDescent="0.35">
      <c r="A2235" t="s">
        <v>601</v>
      </c>
      <c r="B2235" t="s">
        <v>790</v>
      </c>
      <c r="C2235" t="s">
        <v>302</v>
      </c>
      <c r="D2235" t="s">
        <v>155</v>
      </c>
      <c r="E2235">
        <v>134934</v>
      </c>
      <c r="F2235">
        <v>135936.1</v>
      </c>
      <c r="G2235">
        <v>67967.92</v>
      </c>
      <c r="H2235">
        <v>46209</v>
      </c>
      <c r="L2235">
        <v>46209</v>
      </c>
    </row>
    <row r="2236" spans="1:12" x14ac:dyDescent="0.35">
      <c r="A2236" t="s">
        <v>816</v>
      </c>
      <c r="B2236" t="s">
        <v>768</v>
      </c>
      <c r="C2236" t="s">
        <v>627</v>
      </c>
      <c r="D2236" t="s">
        <v>155</v>
      </c>
      <c r="E2236">
        <v>19</v>
      </c>
      <c r="F2236">
        <v>38.878430000000002</v>
      </c>
      <c r="G2236">
        <v>19.439209999999999</v>
      </c>
      <c r="H2236">
        <v>46076</v>
      </c>
      <c r="L2236">
        <v>46076</v>
      </c>
    </row>
    <row r="2237" spans="1:12" x14ac:dyDescent="0.35">
      <c r="A2237" t="s">
        <v>816</v>
      </c>
      <c r="B2237" t="s">
        <v>748</v>
      </c>
      <c r="C2237" t="s">
        <v>627</v>
      </c>
      <c r="D2237" t="s">
        <v>155</v>
      </c>
      <c r="E2237">
        <v>152</v>
      </c>
      <c r="F2237">
        <v>347.94310000000002</v>
      </c>
      <c r="G2237">
        <v>173.97149999999999</v>
      </c>
      <c r="H2237">
        <v>46045</v>
      </c>
      <c r="L2237">
        <v>46045</v>
      </c>
    </row>
    <row r="2238" spans="1:12" x14ac:dyDescent="0.35">
      <c r="A2238" t="s">
        <v>816</v>
      </c>
      <c r="B2238" t="s">
        <v>788</v>
      </c>
      <c r="C2238" t="s">
        <v>627</v>
      </c>
      <c r="D2238" t="s">
        <v>155</v>
      </c>
      <c r="E2238">
        <v>3178</v>
      </c>
      <c r="F2238">
        <v>3251.63</v>
      </c>
      <c r="G2238">
        <v>1724.79</v>
      </c>
      <c r="H2238">
        <v>45820</v>
      </c>
      <c r="L2238">
        <v>45820</v>
      </c>
    </row>
    <row r="2239" spans="1:12" x14ac:dyDescent="0.35">
      <c r="A2239" t="s">
        <v>816</v>
      </c>
      <c r="B2239" t="s">
        <v>700</v>
      </c>
      <c r="C2239" t="s">
        <v>627</v>
      </c>
      <c r="D2239" t="s">
        <v>155</v>
      </c>
      <c r="E2239">
        <v>7420</v>
      </c>
      <c r="F2239">
        <v>18471.3</v>
      </c>
      <c r="G2239">
        <v>9296.15</v>
      </c>
      <c r="H2239">
        <v>45820</v>
      </c>
      <c r="L2239">
        <v>45820</v>
      </c>
    </row>
    <row r="2240" spans="1:12" x14ac:dyDescent="0.35">
      <c r="A2240" t="s">
        <v>816</v>
      </c>
      <c r="B2240" t="s">
        <v>720</v>
      </c>
      <c r="C2240" t="s">
        <v>627</v>
      </c>
      <c r="D2240" t="s">
        <v>155</v>
      </c>
      <c r="E2240">
        <v>894</v>
      </c>
      <c r="F2240">
        <v>4931.58</v>
      </c>
      <c r="G2240">
        <v>2580.15</v>
      </c>
      <c r="H2240">
        <v>45820</v>
      </c>
      <c r="L2240">
        <v>45820</v>
      </c>
    </row>
    <row r="2241" spans="1:8" x14ac:dyDescent="0.35">
      <c r="A2241" s="113"/>
      <c r="C2241" s="4"/>
      <c r="D2241" s="72"/>
      <c r="E2241" s="114"/>
      <c r="F2241" s="115"/>
      <c r="G2241" s="114"/>
      <c r="H2241" s="42"/>
    </row>
    <row r="2242" spans="1:8" x14ac:dyDescent="0.35">
      <c r="A2242" s="113"/>
      <c r="C2242" s="4"/>
      <c r="D2242" s="72"/>
      <c r="E2242" s="114"/>
      <c r="F2242" s="115"/>
      <c r="G2242" s="114"/>
      <c r="H2242" s="42"/>
    </row>
    <row r="2243" spans="1:8" x14ac:dyDescent="0.35">
      <c r="A2243" s="113"/>
      <c r="C2243" s="4"/>
      <c r="D2243" s="72"/>
      <c r="E2243" s="114"/>
      <c r="F2243" s="115"/>
      <c r="G2243" s="114"/>
      <c r="H2243" s="42"/>
    </row>
    <row r="2244" spans="1:8" x14ac:dyDescent="0.35">
      <c r="A2244" s="113"/>
      <c r="C2244" s="4"/>
      <c r="D2244" s="72"/>
      <c r="E2244" s="114"/>
      <c r="F2244" s="115"/>
      <c r="G2244" s="114"/>
      <c r="H2244" s="42"/>
    </row>
    <row r="2245" spans="1:8" x14ac:dyDescent="0.35">
      <c r="A2245" s="113"/>
      <c r="C2245" s="4"/>
      <c r="D2245" s="72"/>
      <c r="E2245" s="114"/>
      <c r="F2245" s="115"/>
      <c r="G2245" s="114"/>
      <c r="H2245" s="42"/>
    </row>
    <row r="2246" spans="1:8" x14ac:dyDescent="0.35">
      <c r="A2246" s="113"/>
      <c r="C2246" s="4"/>
      <c r="D2246" s="72"/>
      <c r="E2246" s="114"/>
      <c r="F2246" s="115"/>
      <c r="G2246" s="114"/>
      <c r="H2246" s="42"/>
    </row>
    <row r="2247" spans="1:8" x14ac:dyDescent="0.35">
      <c r="A2247" s="113"/>
      <c r="C2247" s="4"/>
      <c r="D2247" s="72"/>
      <c r="E2247" s="114"/>
      <c r="F2247" s="115"/>
      <c r="G2247" s="114"/>
      <c r="H2247" s="42"/>
    </row>
    <row r="2248" spans="1:8" x14ac:dyDescent="0.35">
      <c r="A2248" s="113"/>
      <c r="C2248" s="4"/>
      <c r="D2248" s="72"/>
      <c r="E2248" s="114"/>
      <c r="F2248" s="115"/>
      <c r="G2248" s="114"/>
      <c r="H2248" s="42"/>
    </row>
    <row r="2249" spans="1:8" x14ac:dyDescent="0.35">
      <c r="A2249" s="113"/>
      <c r="C2249" s="4"/>
      <c r="D2249" s="72"/>
      <c r="E2249" s="114"/>
      <c r="F2249" s="115"/>
      <c r="G2249" s="114"/>
      <c r="H2249" s="42"/>
    </row>
    <row r="2250" spans="1:8" x14ac:dyDescent="0.35">
      <c r="A2250" s="113"/>
      <c r="C2250" s="4"/>
      <c r="D2250" s="72"/>
      <c r="E2250" s="114"/>
      <c r="F2250" s="115"/>
      <c r="G2250" s="114"/>
      <c r="H2250" s="42"/>
    </row>
    <row r="2251" spans="1:8" x14ac:dyDescent="0.35">
      <c r="A2251" s="113"/>
      <c r="C2251" s="4"/>
      <c r="D2251" s="72"/>
      <c r="E2251" s="114"/>
      <c r="F2251" s="115"/>
      <c r="G2251" s="114"/>
      <c r="H2251" s="42"/>
    </row>
    <row r="2252" spans="1:8" x14ac:dyDescent="0.35">
      <c r="A2252" s="113"/>
      <c r="C2252" s="4"/>
      <c r="D2252" s="72"/>
      <c r="E2252" s="114"/>
      <c r="F2252" s="115"/>
      <c r="G2252" s="114"/>
      <c r="H2252" s="42"/>
    </row>
    <row r="2253" spans="1:8" x14ac:dyDescent="0.35">
      <c r="A2253" s="113"/>
      <c r="C2253" s="4"/>
      <c r="D2253" s="72"/>
      <c r="E2253" s="114"/>
      <c r="F2253" s="115"/>
      <c r="G2253" s="114"/>
      <c r="H2253" s="42"/>
    </row>
    <row r="2254" spans="1:8" x14ac:dyDescent="0.35">
      <c r="A2254" s="113"/>
      <c r="C2254" s="4"/>
      <c r="D2254" s="72"/>
      <c r="E2254" s="114"/>
      <c r="F2254" s="115"/>
      <c r="G2254" s="114"/>
      <c r="H2254" s="42"/>
    </row>
    <row r="2255" spans="1:8" x14ac:dyDescent="0.35">
      <c r="A2255" s="113"/>
      <c r="C2255" s="4"/>
      <c r="D2255" s="72"/>
      <c r="E2255" s="114"/>
      <c r="F2255" s="115"/>
      <c r="G2255" s="114"/>
      <c r="H2255" s="42"/>
    </row>
    <row r="2256" spans="1:8" x14ac:dyDescent="0.35">
      <c r="A2256" s="113"/>
      <c r="C2256" s="4"/>
      <c r="D2256" s="72"/>
      <c r="E2256" s="114"/>
      <c r="F2256" s="115"/>
      <c r="G2256" s="114"/>
      <c r="H2256" s="42"/>
    </row>
    <row r="2257" spans="1:8" x14ac:dyDescent="0.35">
      <c r="A2257" s="113"/>
      <c r="C2257" s="4"/>
      <c r="D2257" s="72"/>
      <c r="E2257" s="114"/>
      <c r="F2257" s="115"/>
      <c r="G2257" s="114"/>
      <c r="H2257" s="42"/>
    </row>
    <row r="2258" spans="1:8" x14ac:dyDescent="0.35">
      <c r="A2258" s="113"/>
      <c r="C2258" s="4"/>
      <c r="D2258" s="72"/>
      <c r="E2258" s="114"/>
      <c r="F2258" s="115"/>
      <c r="G2258" s="114"/>
      <c r="H2258" s="42"/>
    </row>
    <row r="2259" spans="1:8" x14ac:dyDescent="0.35">
      <c r="A2259" s="113"/>
      <c r="C2259" s="4"/>
      <c r="D2259" s="72"/>
      <c r="E2259" s="114"/>
      <c r="F2259" s="115"/>
      <c r="G2259" s="114"/>
      <c r="H2259" s="42"/>
    </row>
    <row r="2260" spans="1:8" x14ac:dyDescent="0.35">
      <c r="A2260" s="113"/>
      <c r="C2260" s="4"/>
      <c r="D2260" s="72"/>
      <c r="E2260" s="114"/>
      <c r="F2260" s="115"/>
      <c r="G2260" s="114"/>
      <c r="H2260" s="42"/>
    </row>
    <row r="2261" spans="1:8" x14ac:dyDescent="0.35">
      <c r="A2261" s="113"/>
      <c r="C2261" s="4"/>
      <c r="D2261" s="72"/>
      <c r="E2261" s="114"/>
      <c r="F2261" s="115"/>
      <c r="G2261" s="114"/>
      <c r="H2261" s="42"/>
    </row>
    <row r="2262" spans="1:8" x14ac:dyDescent="0.35">
      <c r="A2262" s="113"/>
      <c r="C2262" s="4"/>
      <c r="D2262" s="72"/>
      <c r="E2262" s="114"/>
      <c r="F2262" s="115"/>
      <c r="G2262" s="114"/>
      <c r="H2262" s="42"/>
    </row>
    <row r="2263" spans="1:8" x14ac:dyDescent="0.35">
      <c r="A2263" s="113"/>
      <c r="C2263" s="4"/>
      <c r="D2263" s="72"/>
      <c r="E2263" s="114"/>
      <c r="F2263" s="115"/>
      <c r="G2263" s="114"/>
      <c r="H2263" s="42"/>
    </row>
    <row r="2264" spans="1:8" x14ac:dyDescent="0.35">
      <c r="A2264" s="113"/>
      <c r="C2264" s="4"/>
      <c r="D2264" s="72"/>
      <c r="E2264" s="114"/>
      <c r="F2264" s="115"/>
      <c r="G2264" s="114"/>
      <c r="H2264" s="42"/>
    </row>
    <row r="2265" spans="1:8" x14ac:dyDescent="0.35">
      <c r="A2265" s="113"/>
      <c r="C2265" s="4"/>
      <c r="D2265" s="72"/>
      <c r="E2265" s="114"/>
      <c r="F2265" s="115"/>
      <c r="G2265" s="114"/>
      <c r="H2265" s="42"/>
    </row>
    <row r="2266" spans="1:8" x14ac:dyDescent="0.35">
      <c r="A2266" s="113"/>
      <c r="C2266" s="4"/>
      <c r="D2266" s="72"/>
      <c r="E2266" s="114"/>
      <c r="F2266" s="115"/>
      <c r="G2266" s="114"/>
      <c r="H2266" s="42"/>
    </row>
    <row r="2267" spans="1:8" x14ac:dyDescent="0.35">
      <c r="A2267" s="113"/>
      <c r="C2267" s="4"/>
      <c r="D2267" s="72"/>
      <c r="E2267" s="114"/>
      <c r="F2267" s="115"/>
      <c r="G2267" s="114"/>
      <c r="H2267" s="42"/>
    </row>
    <row r="2268" spans="1:8" x14ac:dyDescent="0.35">
      <c r="A2268" s="113"/>
      <c r="C2268" s="4"/>
      <c r="D2268" s="72"/>
      <c r="E2268" s="114"/>
      <c r="F2268" s="115"/>
      <c r="G2268" s="114"/>
      <c r="H2268" s="42"/>
    </row>
    <row r="2269" spans="1:8" x14ac:dyDescent="0.35">
      <c r="A2269" s="113"/>
      <c r="C2269" s="4"/>
      <c r="D2269" s="72"/>
      <c r="E2269" s="114"/>
      <c r="F2269" s="115"/>
      <c r="G2269" s="114"/>
      <c r="H2269" s="42"/>
    </row>
    <row r="2270" spans="1:8" x14ac:dyDescent="0.35">
      <c r="A2270" s="113"/>
      <c r="C2270" s="4"/>
      <c r="D2270" s="72"/>
      <c r="E2270" s="114"/>
      <c r="F2270" s="115"/>
      <c r="G2270" s="114"/>
      <c r="H2270" s="42"/>
    </row>
    <row r="2271" spans="1:8" x14ac:dyDescent="0.35">
      <c r="A2271" s="113"/>
      <c r="C2271" s="4"/>
      <c r="D2271" s="72"/>
      <c r="E2271" s="114"/>
      <c r="F2271" s="115"/>
      <c r="G2271" s="114"/>
      <c r="H2271" s="42"/>
    </row>
    <row r="2272" spans="1:8" x14ac:dyDescent="0.35">
      <c r="A2272" s="113"/>
      <c r="C2272" s="4"/>
      <c r="D2272" s="72"/>
      <c r="E2272" s="114"/>
      <c r="F2272" s="115"/>
      <c r="G2272" s="114"/>
      <c r="H2272" s="42"/>
    </row>
    <row r="2273" spans="1:9" x14ac:dyDescent="0.35">
      <c r="C2273" s="4"/>
      <c r="D2273" s="72"/>
      <c r="E2273" s="92" t="s">
        <v>817</v>
      </c>
      <c r="F2273" s="13">
        <f>SUM(F380+F478+F539+F622+F679+F819+F892)</f>
        <v>1108135.2791488096</v>
      </c>
      <c r="G2273" s="3">
        <f>F2273/19</f>
        <v>58322.909428884719</v>
      </c>
      <c r="H2273" s="42"/>
    </row>
    <row r="2274" spans="1:9" x14ac:dyDescent="0.35">
      <c r="C2274" s="4"/>
      <c r="D2274" s="72"/>
      <c r="F2274" s="13">
        <f>G2273*5</f>
        <v>291614.54714442359</v>
      </c>
      <c r="G2274" s="3"/>
      <c r="H2274" s="42"/>
      <c r="I2274" s="42"/>
    </row>
    <row r="2275" spans="1:9" x14ac:dyDescent="0.35">
      <c r="C2275" s="4"/>
      <c r="D2275" s="72"/>
      <c r="E2275" s="72"/>
      <c r="F2275" s="13"/>
      <c r="G2275" s="3"/>
      <c r="H2275" s="42"/>
      <c r="I2275" s="42"/>
    </row>
    <row r="2276" spans="1:9" x14ac:dyDescent="0.35">
      <c r="C2276" s="4"/>
      <c r="D2276" s="72"/>
      <c r="E2276" s="72"/>
      <c r="F2276" s="13"/>
      <c r="G2276" s="3"/>
      <c r="H2276" s="42"/>
      <c r="I2276" s="42"/>
    </row>
    <row r="2277" spans="1:9" x14ac:dyDescent="0.35">
      <c r="B2277" s="1"/>
      <c r="C2277" s="4"/>
      <c r="D2277" s="72"/>
      <c r="E2277" s="72"/>
      <c r="F2277" s="13"/>
      <c r="G2277" s="3"/>
      <c r="H2277" s="42"/>
      <c r="I2277" s="42"/>
    </row>
    <row r="2278" spans="1:9" x14ac:dyDescent="0.35">
      <c r="C2278" s="4"/>
      <c r="D2278" s="72"/>
      <c r="E2278" s="72"/>
      <c r="F2278" s="13"/>
      <c r="G2278" s="3"/>
      <c r="H2278" s="42"/>
      <c r="I2278" s="42"/>
    </row>
    <row r="2279" spans="1:9" x14ac:dyDescent="0.35">
      <c r="C2279" s="4"/>
      <c r="D2279" s="72"/>
      <c r="E2279" s="72"/>
      <c r="F2279" s="13"/>
      <c r="G2279" s="3"/>
      <c r="H2279" s="42"/>
      <c r="I2279" s="42"/>
    </row>
    <row r="2280" spans="1:9" x14ac:dyDescent="0.35">
      <c r="C2280" s="4"/>
      <c r="D2280" s="72"/>
      <c r="E2280" s="72"/>
      <c r="F2280" s="13"/>
      <c r="G2280" s="3"/>
      <c r="H2280" s="42"/>
      <c r="I2280" s="42"/>
    </row>
    <row r="2281" spans="1:9" x14ac:dyDescent="0.35">
      <c r="C2281" s="4"/>
      <c r="D2281" s="72"/>
      <c r="E2281" s="72"/>
      <c r="F2281" s="13"/>
      <c r="G2281" s="3"/>
      <c r="H2281" s="42"/>
      <c r="I2281" s="42"/>
    </row>
    <row r="2282" spans="1:9" x14ac:dyDescent="0.35">
      <c r="C2282" s="4"/>
      <c r="D2282" s="72"/>
      <c r="E2282" s="72"/>
      <c r="F2282" s="13"/>
      <c r="G2282" s="3"/>
      <c r="H2282" s="42"/>
      <c r="I2282" s="42"/>
    </row>
    <row r="2285" spans="1:9" x14ac:dyDescent="0.35">
      <c r="A2285" s="75"/>
      <c r="D2285" t="s">
        <v>393</v>
      </c>
    </row>
    <row r="2286" spans="1:9" ht="17.149999999999999" customHeight="1" x14ac:dyDescent="0.35">
      <c r="D2286" s="81">
        <v>24</v>
      </c>
      <c r="E2286" s="43">
        <v>11000</v>
      </c>
      <c r="F2286" s="25">
        <v>42304</v>
      </c>
      <c r="G2286" s="25"/>
      <c r="H2286" s="24">
        <f>E2286*65</f>
        <v>715000</v>
      </c>
    </row>
    <row r="2287" spans="1:9" x14ac:dyDescent="0.35">
      <c r="D2287" s="43" t="s">
        <v>818</v>
      </c>
      <c r="E2287" s="43">
        <v>43066</v>
      </c>
      <c r="F2287" s="25">
        <v>42913</v>
      </c>
      <c r="G2287" s="25"/>
      <c r="H2287" s="24">
        <f>E2287*70</f>
        <v>3014620</v>
      </c>
    </row>
    <row r="2288" spans="1:9" x14ac:dyDescent="0.35">
      <c r="D2288" s="43">
        <v>23</v>
      </c>
      <c r="E2288" s="43">
        <v>11500</v>
      </c>
      <c r="F2288" s="25">
        <v>43440</v>
      </c>
      <c r="G2288" s="25"/>
      <c r="H2288" s="24">
        <v>805000</v>
      </c>
    </row>
    <row r="2289" spans="4:8" x14ac:dyDescent="0.35">
      <c r="D2289" s="43">
        <v>35</v>
      </c>
      <c r="E2289" s="43">
        <v>28280</v>
      </c>
      <c r="F2289" s="25">
        <v>43849</v>
      </c>
      <c r="G2289" s="25"/>
      <c r="H2289" s="24">
        <v>2036174</v>
      </c>
    </row>
    <row r="2290" spans="4:8" x14ac:dyDescent="0.35">
      <c r="D2290" s="43">
        <v>50</v>
      </c>
      <c r="E2290" s="24">
        <v>37542</v>
      </c>
      <c r="F2290" s="25">
        <v>44331</v>
      </c>
      <c r="G2290" s="24"/>
      <c r="H2290" s="24">
        <f>E2290*75</f>
        <v>2815650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84"/>
  <sheetViews>
    <sheetView workbookViewId="0">
      <selection activeCell="B2" sqref="B2"/>
    </sheetView>
  </sheetViews>
  <sheetFormatPr defaultRowHeight="14.5" x14ac:dyDescent="0.35"/>
  <cols>
    <col min="2" max="2" width="41.81640625" bestFit="1" customWidth="1"/>
    <col min="3" max="3" width="14.26953125" customWidth="1"/>
    <col min="4" max="4" width="12.7265625" customWidth="1"/>
    <col min="5" max="5" width="9.54296875" bestFit="1" customWidth="1"/>
  </cols>
  <sheetData>
    <row r="1" spans="1:5" x14ac:dyDescent="0.35">
      <c r="A1" t="s">
        <v>819</v>
      </c>
    </row>
    <row r="2" spans="1:5" x14ac:dyDescent="0.35">
      <c r="B2" s="1" t="s">
        <v>820</v>
      </c>
      <c r="C2" s="1" t="s">
        <v>104</v>
      </c>
      <c r="D2" s="1" t="s">
        <v>821</v>
      </c>
    </row>
    <row r="3" spans="1:5" x14ac:dyDescent="0.35">
      <c r="B3" t="s">
        <v>219</v>
      </c>
      <c r="C3" s="13">
        <v>21009.029531182903</v>
      </c>
      <c r="D3" s="13">
        <v>10504.514765591452</v>
      </c>
    </row>
    <row r="4" spans="1:5" x14ac:dyDescent="0.35">
      <c r="B4" t="s">
        <v>822</v>
      </c>
      <c r="C4" s="13">
        <v>430.39538032995858</v>
      </c>
      <c r="D4" s="13">
        <v>532.5549113772056</v>
      </c>
    </row>
    <row r="5" spans="1:5" x14ac:dyDescent="0.35">
      <c r="B5" t="s">
        <v>272</v>
      </c>
      <c r="C5" s="13">
        <v>112</v>
      </c>
      <c r="D5" s="13">
        <v>0</v>
      </c>
    </row>
    <row r="6" spans="1:5" x14ac:dyDescent="0.35">
      <c r="B6" t="s">
        <v>274</v>
      </c>
      <c r="C6" s="13">
        <v>29</v>
      </c>
      <c r="D6" s="13">
        <v>0</v>
      </c>
    </row>
    <row r="7" spans="1:5" x14ac:dyDescent="0.35">
      <c r="B7" t="s">
        <v>275</v>
      </c>
      <c r="C7" s="13">
        <v>2</v>
      </c>
      <c r="D7" s="13">
        <v>0</v>
      </c>
    </row>
    <row r="8" spans="1:5" x14ac:dyDescent="0.35">
      <c r="B8" t="s">
        <v>303</v>
      </c>
      <c r="C8" s="13">
        <v>668026.89926756639</v>
      </c>
      <c r="D8" s="13">
        <v>0</v>
      </c>
      <c r="E8" s="3"/>
    </row>
    <row r="9" spans="1:5" x14ac:dyDescent="0.35">
      <c r="B9" t="s">
        <v>276</v>
      </c>
      <c r="C9" s="13">
        <v>127</v>
      </c>
      <c r="D9" s="13">
        <v>0</v>
      </c>
    </row>
    <row r="10" spans="1:5" x14ac:dyDescent="0.35">
      <c r="B10" t="s">
        <v>206</v>
      </c>
      <c r="C10" s="13">
        <v>25.937389333252693</v>
      </c>
      <c r="D10" s="13">
        <v>12.968694666626346</v>
      </c>
    </row>
    <row r="11" spans="1:5" x14ac:dyDescent="0.35">
      <c r="B11" t="s">
        <v>186</v>
      </c>
      <c r="C11" s="13">
        <v>6121.971010317</v>
      </c>
      <c r="D11" s="13">
        <v>3060.9855051585</v>
      </c>
    </row>
    <row r="12" spans="1:5" x14ac:dyDescent="0.35">
      <c r="B12" t="s">
        <v>211</v>
      </c>
      <c r="C12" s="13">
        <v>3318.9958306246467</v>
      </c>
      <c r="D12" s="13">
        <v>1659.4979153123234</v>
      </c>
    </row>
    <row r="13" spans="1:5" x14ac:dyDescent="0.35">
      <c r="B13" t="s">
        <v>152</v>
      </c>
      <c r="C13" s="13">
        <v>244104.25148511957</v>
      </c>
      <c r="D13" s="13">
        <v>0</v>
      </c>
    </row>
    <row r="14" spans="1:5" x14ac:dyDescent="0.35">
      <c r="B14" t="s">
        <v>265</v>
      </c>
      <c r="C14" s="13">
        <v>343.70378747195156</v>
      </c>
      <c r="D14" s="13">
        <v>171.85189373597578</v>
      </c>
    </row>
    <row r="15" spans="1:5" x14ac:dyDescent="0.35">
      <c r="B15" t="s">
        <v>232</v>
      </c>
      <c r="C15" s="13">
        <v>2292</v>
      </c>
      <c r="D15" s="13">
        <v>0</v>
      </c>
    </row>
    <row r="16" spans="1:5" x14ac:dyDescent="0.35">
      <c r="B16" t="s">
        <v>185</v>
      </c>
      <c r="C16" s="13">
        <v>1190.6720957889065</v>
      </c>
      <c r="D16" s="13">
        <v>1485.3360478944535</v>
      </c>
    </row>
    <row r="17" spans="2:4" x14ac:dyDescent="0.35">
      <c r="B17" t="s">
        <v>208</v>
      </c>
      <c r="C17" s="13">
        <v>4710.2911260359879</v>
      </c>
      <c r="D17" s="13">
        <v>2355.1455630179939</v>
      </c>
    </row>
    <row r="18" spans="2:4" x14ac:dyDescent="0.35">
      <c r="B18" t="s">
        <v>223</v>
      </c>
      <c r="C18" s="13">
        <v>6383.2555121287469</v>
      </c>
      <c r="D18" s="13">
        <v>3210.8277560643733</v>
      </c>
    </row>
    <row r="19" spans="2:4" x14ac:dyDescent="0.35">
      <c r="B19" t="s">
        <v>277</v>
      </c>
      <c r="C19" s="13">
        <v>148</v>
      </c>
      <c r="D19" s="13">
        <v>0</v>
      </c>
    </row>
    <row r="20" spans="2:4" x14ac:dyDescent="0.35">
      <c r="B20" t="s">
        <v>255</v>
      </c>
      <c r="C20" s="13">
        <v>0.16120067879759398</v>
      </c>
      <c r="D20" s="13">
        <v>0</v>
      </c>
    </row>
    <row r="21" spans="2:4" x14ac:dyDescent="0.35">
      <c r="B21" t="s">
        <v>209</v>
      </c>
      <c r="C21" s="13">
        <v>5541.0402843413776</v>
      </c>
      <c r="D21" s="13">
        <v>2770.5201421706888</v>
      </c>
    </row>
    <row r="22" spans="2:4" x14ac:dyDescent="0.35">
      <c r="B22" t="s">
        <v>158</v>
      </c>
      <c r="C22" s="13">
        <v>159152.0346567028</v>
      </c>
      <c r="D22" s="13">
        <v>0</v>
      </c>
    </row>
    <row r="23" spans="2:4" x14ac:dyDescent="0.35">
      <c r="B23" t="s">
        <v>210</v>
      </c>
      <c r="C23" s="13">
        <v>1493.0273757885661</v>
      </c>
      <c r="D23" s="13">
        <v>479.50821273656982</v>
      </c>
    </row>
    <row r="24" spans="2:4" x14ac:dyDescent="0.35">
      <c r="B24" t="s">
        <v>229</v>
      </c>
      <c r="C24" s="13">
        <v>433.58376121073661</v>
      </c>
      <c r="D24" s="13">
        <v>216.79188060536831</v>
      </c>
    </row>
    <row r="25" spans="2:4" x14ac:dyDescent="0.35">
      <c r="B25" t="s">
        <v>287</v>
      </c>
      <c r="C25" s="13">
        <v>61.883900284767151</v>
      </c>
      <c r="D25" s="13">
        <v>99.441950142383575</v>
      </c>
    </row>
    <row r="26" spans="2:4" x14ac:dyDescent="0.35">
      <c r="B26" t="s">
        <v>159</v>
      </c>
      <c r="C26" s="13">
        <v>247666.89234689309</v>
      </c>
      <c r="D26" s="13">
        <v>8819.52889492959</v>
      </c>
    </row>
    <row r="27" spans="2:4" x14ac:dyDescent="0.35">
      <c r="B27" t="s">
        <v>230</v>
      </c>
      <c r="C27" s="13">
        <v>55.522474334055012</v>
      </c>
      <c r="D27" s="13">
        <v>27.761237167027506</v>
      </c>
    </row>
    <row r="28" spans="2:4" x14ac:dyDescent="0.35">
      <c r="B28" t="s">
        <v>314</v>
      </c>
      <c r="C28" s="13">
        <v>34470.77435717934</v>
      </c>
      <c r="D28" s="13">
        <v>10341.232307153803</v>
      </c>
    </row>
    <row r="29" spans="2:4" x14ac:dyDescent="0.35">
      <c r="B29" t="s">
        <v>30</v>
      </c>
      <c r="C29" s="13">
        <v>230768.29614083582</v>
      </c>
      <c r="D29" s="13">
        <v>115384.14807041791</v>
      </c>
    </row>
    <row r="30" spans="2:4" x14ac:dyDescent="0.35">
      <c r="B30" t="s">
        <v>212</v>
      </c>
      <c r="C30" s="13">
        <v>77280.016351516737</v>
      </c>
      <c r="D30" s="13">
        <v>34596.164914310735</v>
      </c>
    </row>
    <row r="31" spans="2:4" x14ac:dyDescent="0.35">
      <c r="B31" t="s">
        <v>78</v>
      </c>
      <c r="C31" s="13">
        <v>63007.584482261227</v>
      </c>
      <c r="D31" s="13">
        <v>31503.792241130614</v>
      </c>
    </row>
    <row r="32" spans="2:4" x14ac:dyDescent="0.35">
      <c r="B32" t="s">
        <v>288</v>
      </c>
      <c r="C32" s="13">
        <v>4.4053816118781128</v>
      </c>
      <c r="D32" s="13">
        <v>14.202690805939056</v>
      </c>
    </row>
    <row r="33" spans="2:4" x14ac:dyDescent="0.35">
      <c r="B33" t="s">
        <v>256</v>
      </c>
      <c r="C33" s="13">
        <v>423.46308416387262</v>
      </c>
      <c r="D33" s="13">
        <v>0</v>
      </c>
    </row>
    <row r="34" spans="2:4" x14ac:dyDescent="0.35">
      <c r="B34" t="s">
        <v>213</v>
      </c>
      <c r="C34" s="13">
        <v>1450.8513359285553</v>
      </c>
      <c r="D34" s="13">
        <v>438.45540077856657</v>
      </c>
    </row>
    <row r="35" spans="2:4" x14ac:dyDescent="0.35">
      <c r="B35" t="s">
        <v>160</v>
      </c>
      <c r="C35" s="13">
        <v>15688.447480870933</v>
      </c>
      <c r="D35" s="13">
        <v>0</v>
      </c>
    </row>
    <row r="36" spans="2:4" x14ac:dyDescent="0.35">
      <c r="B36" t="s">
        <v>120</v>
      </c>
      <c r="C36" s="13">
        <v>210633.58048319383</v>
      </c>
      <c r="D36" s="13">
        <v>33266</v>
      </c>
    </row>
    <row r="37" spans="2:4" x14ac:dyDescent="0.35">
      <c r="B37" t="s">
        <v>190</v>
      </c>
      <c r="C37" s="13">
        <v>48089.709111320059</v>
      </c>
      <c r="D37" s="13">
        <v>24044.854555660029</v>
      </c>
    </row>
    <row r="38" spans="2:4" x14ac:dyDescent="0.35">
      <c r="B38" t="s">
        <v>161</v>
      </c>
      <c r="C38" s="13">
        <v>1463.6345923828653</v>
      </c>
      <c r="D38" s="13">
        <v>3.9288740431694027</v>
      </c>
    </row>
    <row r="39" spans="2:4" x14ac:dyDescent="0.35">
      <c r="B39" t="s">
        <v>162</v>
      </c>
      <c r="C39" s="13">
        <v>99247.747208453104</v>
      </c>
      <c r="D39" s="13">
        <v>59549.046325071868</v>
      </c>
    </row>
    <row r="40" spans="2:4" x14ac:dyDescent="0.35">
      <c r="B40" t="s">
        <v>257</v>
      </c>
      <c r="C40" s="13">
        <v>801.95574360646356</v>
      </c>
      <c r="D40" s="13">
        <v>0</v>
      </c>
    </row>
    <row r="41" spans="2:4" x14ac:dyDescent="0.35">
      <c r="B41" t="s">
        <v>233</v>
      </c>
      <c r="C41" s="13">
        <v>367.125</v>
      </c>
      <c r="D41" s="13">
        <v>183.5625</v>
      </c>
    </row>
    <row r="42" spans="2:4" x14ac:dyDescent="0.35">
      <c r="B42" t="s">
        <v>214</v>
      </c>
      <c r="C42" s="13">
        <v>60.293614624266738</v>
      </c>
      <c r="D42" s="13">
        <v>26.115374818749387</v>
      </c>
    </row>
    <row r="43" spans="2:4" x14ac:dyDescent="0.35">
      <c r="B43" t="s">
        <v>278</v>
      </c>
      <c r="C43" s="13">
        <v>197</v>
      </c>
      <c r="D43" s="13">
        <v>0</v>
      </c>
    </row>
    <row r="44" spans="2:4" x14ac:dyDescent="0.35">
      <c r="B44" t="s">
        <v>47</v>
      </c>
      <c r="C44" s="13">
        <v>2081.2671537152733</v>
      </c>
      <c r="D44" s="13">
        <v>1041.6335768576366</v>
      </c>
    </row>
    <row r="45" spans="2:4" x14ac:dyDescent="0.35">
      <c r="B45" t="s">
        <v>279</v>
      </c>
      <c r="C45" s="13">
        <v>55</v>
      </c>
      <c r="D45" s="13">
        <v>0</v>
      </c>
    </row>
    <row r="46" spans="2:4" x14ac:dyDescent="0.35">
      <c r="B46" t="s">
        <v>82</v>
      </c>
      <c r="C46" s="13">
        <v>164169.96449267704</v>
      </c>
      <c r="D46" s="13">
        <v>82085.982246338521</v>
      </c>
    </row>
    <row r="47" spans="2:4" x14ac:dyDescent="0.35">
      <c r="B47" t="s">
        <v>151</v>
      </c>
      <c r="C47" s="13">
        <v>8097471.0145930294</v>
      </c>
      <c r="D47" s="13">
        <v>4859948.3035746319</v>
      </c>
    </row>
    <row r="48" spans="2:4" x14ac:dyDescent="0.35">
      <c r="B48" t="s">
        <v>193</v>
      </c>
      <c r="C48" s="13">
        <v>33091.88426644876</v>
      </c>
      <c r="D48" s="13">
        <v>16835.44213322438</v>
      </c>
    </row>
    <row r="49" spans="2:4" x14ac:dyDescent="0.35">
      <c r="B49" t="s">
        <v>215</v>
      </c>
      <c r="C49" s="13">
        <v>118.59449113272289</v>
      </c>
      <c r="D49" s="13">
        <v>59.297245566361447</v>
      </c>
    </row>
    <row r="50" spans="2:4" x14ac:dyDescent="0.35">
      <c r="B50" t="s">
        <v>266</v>
      </c>
      <c r="C50" s="13">
        <v>14373.086800097637</v>
      </c>
      <c r="D50" s="13">
        <v>9717.6698292473375</v>
      </c>
    </row>
    <row r="51" spans="2:4" x14ac:dyDescent="0.35">
      <c r="B51" t="s">
        <v>267</v>
      </c>
      <c r="C51" s="13">
        <v>475527.23495599296</v>
      </c>
      <c r="D51" s="13">
        <v>0</v>
      </c>
    </row>
    <row r="52" spans="2:4" x14ac:dyDescent="0.35">
      <c r="B52" t="s">
        <v>150</v>
      </c>
      <c r="C52" s="13">
        <v>788886</v>
      </c>
      <c r="D52" s="13">
        <v>394445.5</v>
      </c>
    </row>
    <row r="53" spans="2:4" x14ac:dyDescent="0.35">
      <c r="B53" t="s">
        <v>183</v>
      </c>
      <c r="C53" s="13">
        <v>4519366.0254961913</v>
      </c>
      <c r="D53" s="13">
        <v>0</v>
      </c>
    </row>
    <row r="54" spans="2:4" x14ac:dyDescent="0.35">
      <c r="B54" t="s">
        <v>280</v>
      </c>
      <c r="C54" s="13">
        <v>636</v>
      </c>
      <c r="D54" s="13">
        <v>318</v>
      </c>
    </row>
    <row r="55" spans="2:4" x14ac:dyDescent="0.35">
      <c r="B55" t="s">
        <v>315</v>
      </c>
      <c r="C55" s="13">
        <v>595842.99238973681</v>
      </c>
      <c r="D55" s="13">
        <v>0</v>
      </c>
    </row>
    <row r="56" spans="2:4" x14ac:dyDescent="0.35">
      <c r="B56" t="s">
        <v>268</v>
      </c>
      <c r="C56" s="13">
        <v>19742.067309516166</v>
      </c>
      <c r="D56" s="13">
        <v>7896.59464551576</v>
      </c>
    </row>
    <row r="57" spans="2:4" x14ac:dyDescent="0.35">
      <c r="B57" t="s">
        <v>170</v>
      </c>
      <c r="C57" s="13">
        <v>790</v>
      </c>
      <c r="D57" s="13">
        <v>395</v>
      </c>
    </row>
    <row r="58" spans="2:4" x14ac:dyDescent="0.35">
      <c r="B58" t="s">
        <v>134</v>
      </c>
      <c r="C58" s="13">
        <v>6522</v>
      </c>
      <c r="D58" s="13">
        <v>3261</v>
      </c>
    </row>
    <row r="59" spans="2:4" x14ac:dyDescent="0.35">
      <c r="B59" t="s">
        <v>258</v>
      </c>
      <c r="C59" s="13">
        <v>369.28471491797228</v>
      </c>
      <c r="D59" s="13">
        <v>0</v>
      </c>
    </row>
    <row r="60" spans="2:4" x14ac:dyDescent="0.35">
      <c r="B60" t="s">
        <v>282</v>
      </c>
      <c r="C60" s="13">
        <v>7</v>
      </c>
      <c r="D60" s="13">
        <v>0</v>
      </c>
    </row>
    <row r="61" spans="2:4" x14ac:dyDescent="0.35">
      <c r="B61" s="1" t="s">
        <v>823</v>
      </c>
      <c r="C61" s="5">
        <f>SUM(C3:C60)</f>
        <v>16875783.849447545</v>
      </c>
      <c r="D61" s="5">
        <f>SUM(D3:D60)</f>
        <v>5720763.1618761448</v>
      </c>
    </row>
    <row r="2084" spans="5:7" x14ac:dyDescent="0.35">
      <c r="E2084">
        <v>0</v>
      </c>
      <c r="F2084">
        <v>0</v>
      </c>
      <c r="G2084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A8" sqref="A8"/>
    </sheetView>
  </sheetViews>
  <sheetFormatPr defaultRowHeight="14.5" x14ac:dyDescent="0.35"/>
  <cols>
    <col min="1" max="1" width="20.1796875" customWidth="1"/>
    <col min="2" max="2" width="14.54296875" customWidth="1"/>
    <col min="3" max="3" width="16.81640625" bestFit="1" customWidth="1"/>
    <col min="4" max="4" width="16" customWidth="1"/>
    <col min="5" max="5" width="12.453125" customWidth="1"/>
    <col min="6" max="6" width="34.54296875" customWidth="1"/>
  </cols>
  <sheetData>
    <row r="1" spans="1:6" x14ac:dyDescent="0.35">
      <c r="A1" s="21" t="s">
        <v>824</v>
      </c>
      <c r="B1" s="22" t="s">
        <v>825</v>
      </c>
      <c r="C1" s="22" t="s">
        <v>826</v>
      </c>
      <c r="D1" s="22" t="s">
        <v>827</v>
      </c>
      <c r="E1" s="22" t="s">
        <v>828</v>
      </c>
      <c r="F1" s="22" t="s">
        <v>829</v>
      </c>
    </row>
    <row r="2" spans="1:6" x14ac:dyDescent="0.35">
      <c r="A2" s="23" t="s">
        <v>77</v>
      </c>
      <c r="B2" s="27" t="s">
        <v>830</v>
      </c>
      <c r="C2" s="24">
        <v>3381</v>
      </c>
      <c r="D2" s="24">
        <v>360110</v>
      </c>
      <c r="E2" s="24" t="s">
        <v>831</v>
      </c>
      <c r="F2" s="24" t="s">
        <v>832</v>
      </c>
    </row>
    <row r="3" spans="1:6" x14ac:dyDescent="0.35">
      <c r="A3" s="23" t="s">
        <v>30</v>
      </c>
      <c r="B3" s="26"/>
      <c r="C3" s="24">
        <v>5441</v>
      </c>
      <c r="D3" s="24">
        <v>343548</v>
      </c>
      <c r="E3" s="24" t="s">
        <v>833</v>
      </c>
      <c r="F3" s="24" t="s">
        <v>834</v>
      </c>
    </row>
    <row r="4" spans="1:6" x14ac:dyDescent="0.35">
      <c r="A4" s="23" t="s">
        <v>30</v>
      </c>
      <c r="B4" s="27">
        <v>8</v>
      </c>
      <c r="C4" s="24">
        <v>4082</v>
      </c>
      <c r="D4" s="24">
        <v>359817</v>
      </c>
      <c r="E4" s="24" t="s">
        <v>835</v>
      </c>
      <c r="F4" s="24" t="s">
        <v>836</v>
      </c>
    </row>
    <row r="5" spans="1:6" x14ac:dyDescent="0.35">
      <c r="A5" s="23" t="s">
        <v>30</v>
      </c>
      <c r="B5" s="26">
        <v>10</v>
      </c>
      <c r="C5" s="24">
        <v>1192</v>
      </c>
      <c r="D5" s="24">
        <v>360923</v>
      </c>
      <c r="E5" s="24" t="s">
        <v>837</v>
      </c>
      <c r="F5" s="24" t="s">
        <v>838</v>
      </c>
    </row>
    <row r="6" spans="1:6" x14ac:dyDescent="0.35">
      <c r="A6" s="23" t="s">
        <v>78</v>
      </c>
      <c r="B6" s="26" t="s">
        <v>839</v>
      </c>
      <c r="C6" s="24">
        <v>49950</v>
      </c>
      <c r="D6" s="24">
        <v>362111</v>
      </c>
      <c r="E6" s="24" t="s">
        <v>840</v>
      </c>
      <c r="F6" s="24" t="s">
        <v>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"/>
  <sheetViews>
    <sheetView workbookViewId="0">
      <selection activeCell="C38" sqref="C38"/>
    </sheetView>
  </sheetViews>
  <sheetFormatPr defaultRowHeight="14.5" x14ac:dyDescent="0.35"/>
  <cols>
    <col min="1" max="1" width="25.1796875" bestFit="1" customWidth="1"/>
    <col min="2" max="2" width="16.26953125" bestFit="1" customWidth="1"/>
    <col min="3" max="3" width="15.81640625" bestFit="1" customWidth="1"/>
    <col min="4" max="4" width="11.54296875" bestFit="1" customWidth="1"/>
  </cols>
  <sheetData>
    <row r="1" spans="1:4" x14ac:dyDescent="0.35">
      <c r="A1" s="82" t="s">
        <v>842</v>
      </c>
      <c r="B1" s="82" t="s">
        <v>100</v>
      </c>
      <c r="C1" s="82" t="s">
        <v>843</v>
      </c>
    </row>
    <row r="2" spans="1:4" x14ac:dyDescent="0.35">
      <c r="A2" s="30" t="s">
        <v>306</v>
      </c>
      <c r="B2" s="30" t="s">
        <v>844</v>
      </c>
      <c r="C2" s="83">
        <v>682</v>
      </c>
    </row>
    <row r="3" spans="1:4" x14ac:dyDescent="0.35">
      <c r="A3" s="30" t="s">
        <v>306</v>
      </c>
      <c r="B3" s="30" t="s">
        <v>845</v>
      </c>
      <c r="C3" s="83">
        <v>366</v>
      </c>
    </row>
    <row r="4" spans="1:4" x14ac:dyDescent="0.35">
      <c r="A4" s="30" t="s">
        <v>306</v>
      </c>
      <c r="B4" s="30" t="s">
        <v>846</v>
      </c>
      <c r="C4" s="84">
        <v>8068</v>
      </c>
    </row>
    <row r="5" spans="1:4" x14ac:dyDescent="0.35">
      <c r="A5" s="30" t="s">
        <v>306</v>
      </c>
      <c r="B5" s="30" t="s">
        <v>847</v>
      </c>
      <c r="C5" s="83">
        <v>316</v>
      </c>
    </row>
    <row r="6" spans="1:4" x14ac:dyDescent="0.35">
      <c r="A6" s="30" t="s">
        <v>306</v>
      </c>
      <c r="B6" s="30" t="s">
        <v>848</v>
      </c>
      <c r="C6" s="84">
        <v>1673</v>
      </c>
    </row>
    <row r="7" spans="1:4" x14ac:dyDescent="0.35">
      <c r="A7" s="30" t="s">
        <v>306</v>
      </c>
      <c r="B7" s="30" t="s">
        <v>849</v>
      </c>
      <c r="C7" s="84">
        <v>76635</v>
      </c>
    </row>
    <row r="8" spans="1:4" x14ac:dyDescent="0.35">
      <c r="A8" s="30" t="s">
        <v>306</v>
      </c>
      <c r="B8" s="30" t="s">
        <v>850</v>
      </c>
      <c r="C8" s="84">
        <v>71835</v>
      </c>
    </row>
    <row r="9" spans="1:4" x14ac:dyDescent="0.35">
      <c r="A9" s="30" t="s">
        <v>306</v>
      </c>
      <c r="B9" s="30" t="s">
        <v>851</v>
      </c>
      <c r="C9" s="85">
        <v>29139</v>
      </c>
    </row>
    <row r="10" spans="1:4" x14ac:dyDescent="0.35">
      <c r="A10" s="30" t="s">
        <v>306</v>
      </c>
      <c r="B10" s="30" t="s">
        <v>852</v>
      </c>
      <c r="C10" s="85">
        <v>2634</v>
      </c>
    </row>
    <row r="11" spans="1:4" x14ac:dyDescent="0.35">
      <c r="A11" s="86" t="s">
        <v>306</v>
      </c>
      <c r="B11" s="87" t="s">
        <v>406</v>
      </c>
      <c r="C11" s="88">
        <v>7434</v>
      </c>
    </row>
    <row r="12" spans="1:4" x14ac:dyDescent="0.35">
      <c r="A12" s="89"/>
      <c r="B12" s="90" t="s">
        <v>853</v>
      </c>
      <c r="C12" s="91">
        <f>SUM(C2:C11)</f>
        <v>198782</v>
      </c>
    </row>
    <row r="14" spans="1:4" ht="15" thickBot="1" x14ac:dyDescent="0.4">
      <c r="A14" s="93" t="s">
        <v>306</v>
      </c>
      <c r="B14" s="94" t="s">
        <v>844</v>
      </c>
      <c r="C14" s="95">
        <v>682</v>
      </c>
      <c r="D14" s="96">
        <v>341</v>
      </c>
    </row>
    <row r="15" spans="1:4" ht="15" thickBot="1" x14ac:dyDescent="0.4">
      <c r="A15" s="93" t="s">
        <v>306</v>
      </c>
      <c r="B15" s="94" t="s">
        <v>845</v>
      </c>
      <c r="C15" s="95">
        <v>366</v>
      </c>
      <c r="D15" s="96">
        <v>183</v>
      </c>
    </row>
    <row r="16" spans="1:4" ht="15" thickBot="1" x14ac:dyDescent="0.4">
      <c r="A16" s="93" t="s">
        <v>306</v>
      </c>
      <c r="B16" s="94" t="s">
        <v>846</v>
      </c>
      <c r="C16" s="97">
        <v>8068</v>
      </c>
      <c r="D16" s="98">
        <v>4034</v>
      </c>
    </row>
    <row r="17" spans="1:4" ht="15" thickBot="1" x14ac:dyDescent="0.4">
      <c r="A17" s="93" t="s">
        <v>306</v>
      </c>
      <c r="B17" s="94" t="s">
        <v>847</v>
      </c>
      <c r="C17" s="95">
        <v>316</v>
      </c>
      <c r="D17" s="96">
        <v>158</v>
      </c>
    </row>
    <row r="18" spans="1:4" ht="15" thickBot="1" x14ac:dyDescent="0.4">
      <c r="A18" s="93" t="s">
        <v>306</v>
      </c>
      <c r="B18" s="94" t="s">
        <v>848</v>
      </c>
      <c r="C18" s="97">
        <v>1673</v>
      </c>
      <c r="D18" s="96">
        <v>836.5</v>
      </c>
    </row>
    <row r="19" spans="1:4" ht="15" thickBot="1" x14ac:dyDescent="0.4">
      <c r="A19" s="93" t="s">
        <v>306</v>
      </c>
      <c r="B19" s="94" t="s">
        <v>849</v>
      </c>
      <c r="C19" s="97">
        <v>76635</v>
      </c>
      <c r="D19" s="99">
        <v>38317.5</v>
      </c>
    </row>
    <row r="20" spans="1:4" ht="15" thickBot="1" x14ac:dyDescent="0.4">
      <c r="A20" s="93" t="s">
        <v>306</v>
      </c>
      <c r="B20" s="94" t="s">
        <v>850</v>
      </c>
      <c r="C20" s="97">
        <v>71835</v>
      </c>
      <c r="D20" s="99">
        <v>35917.5</v>
      </c>
    </row>
    <row r="21" spans="1:4" ht="15" thickBot="1" x14ac:dyDescent="0.4">
      <c r="A21" s="93" t="s">
        <v>306</v>
      </c>
      <c r="B21" s="94" t="s">
        <v>851</v>
      </c>
      <c r="C21" s="100">
        <v>29139</v>
      </c>
      <c r="D21" s="101">
        <v>14569.5</v>
      </c>
    </row>
    <row r="22" spans="1:4" ht="15" thickBot="1" x14ac:dyDescent="0.4">
      <c r="A22" s="93" t="s">
        <v>306</v>
      </c>
      <c r="B22" s="94" t="s">
        <v>852</v>
      </c>
      <c r="C22" s="100">
        <v>2634</v>
      </c>
      <c r="D22" s="102">
        <v>1317</v>
      </c>
    </row>
    <row r="23" spans="1:4" ht="15" thickBot="1" x14ac:dyDescent="0.4">
      <c r="A23" s="93" t="s">
        <v>306</v>
      </c>
      <c r="B23" s="103" t="s">
        <v>854</v>
      </c>
      <c r="C23" s="100">
        <v>14868</v>
      </c>
      <c r="D23" s="102">
        <v>7432</v>
      </c>
    </row>
    <row r="24" spans="1:4" ht="15" thickBot="1" x14ac:dyDescent="0.4">
      <c r="A24" s="93" t="s">
        <v>306</v>
      </c>
      <c r="B24" s="103" t="s">
        <v>855</v>
      </c>
      <c r="C24" s="100">
        <v>8661</v>
      </c>
      <c r="D24" s="101">
        <v>4330.5</v>
      </c>
    </row>
    <row r="25" spans="1:4" ht="15" thickBot="1" x14ac:dyDescent="0.4">
      <c r="A25" s="93" t="s">
        <v>306</v>
      </c>
      <c r="B25" s="103" t="s">
        <v>856</v>
      </c>
      <c r="C25" s="100">
        <v>10369</v>
      </c>
      <c r="D25" s="101">
        <v>5184.5</v>
      </c>
    </row>
    <row r="26" spans="1:4" ht="15" thickBot="1" x14ac:dyDescent="0.4">
      <c r="A26" s="93" t="s">
        <v>306</v>
      </c>
      <c r="B26" s="103" t="s">
        <v>857</v>
      </c>
      <c r="C26" s="100">
        <v>9351</v>
      </c>
      <c r="D26" s="102">
        <v>4675</v>
      </c>
    </row>
    <row r="27" spans="1:4" ht="15" thickBot="1" x14ac:dyDescent="0.4">
      <c r="A27" s="93" t="s">
        <v>306</v>
      </c>
      <c r="B27" s="103" t="s">
        <v>858</v>
      </c>
      <c r="C27" s="100">
        <v>16528</v>
      </c>
      <c r="D27" s="102">
        <v>8264</v>
      </c>
    </row>
    <row r="28" spans="1:4" ht="15" thickBot="1" x14ac:dyDescent="0.4">
      <c r="A28" s="93" t="s">
        <v>306</v>
      </c>
      <c r="B28" s="103" t="s">
        <v>859</v>
      </c>
      <c r="C28" s="100">
        <v>6860</v>
      </c>
      <c r="D28" s="102">
        <v>3430</v>
      </c>
    </row>
    <row r="29" spans="1:4" ht="15" thickBot="1" x14ac:dyDescent="0.4">
      <c r="A29" s="93" t="s">
        <v>306</v>
      </c>
      <c r="B29" s="103" t="s">
        <v>860</v>
      </c>
      <c r="C29" s="104">
        <v>6799</v>
      </c>
      <c r="D29" s="105">
        <v>3400</v>
      </c>
    </row>
    <row r="30" spans="1:4" ht="15" thickBot="1" x14ac:dyDescent="0.4">
      <c r="A30" s="93" t="s">
        <v>306</v>
      </c>
      <c r="B30" s="103" t="s">
        <v>861</v>
      </c>
      <c r="C30" s="104">
        <v>6752</v>
      </c>
      <c r="D30" s="105">
        <v>3376</v>
      </c>
    </row>
    <row r="31" spans="1:4" ht="15" thickBot="1" x14ac:dyDescent="0.4">
      <c r="A31" s="93" t="s">
        <v>306</v>
      </c>
      <c r="B31" s="103" t="s">
        <v>862</v>
      </c>
      <c r="C31" s="104">
        <v>6335</v>
      </c>
      <c r="D31" s="105">
        <v>3167</v>
      </c>
    </row>
    <row r="32" spans="1:4" ht="15" thickBot="1" x14ac:dyDescent="0.4">
      <c r="A32" s="93" t="s">
        <v>306</v>
      </c>
      <c r="B32" s="103" t="s">
        <v>863</v>
      </c>
      <c r="C32" s="104">
        <v>6135</v>
      </c>
      <c r="D32" s="105">
        <v>3067</v>
      </c>
    </row>
    <row r="33" spans="1:4" ht="15" thickBot="1" x14ac:dyDescent="0.4">
      <c r="A33" s="93" t="s">
        <v>306</v>
      </c>
      <c r="B33" s="103" t="s">
        <v>864</v>
      </c>
      <c r="C33" s="104">
        <v>14260</v>
      </c>
      <c r="D33" s="105">
        <v>7130</v>
      </c>
    </row>
    <row r="34" spans="1:4" ht="15" thickBot="1" x14ac:dyDescent="0.4">
      <c r="A34" s="106" t="s">
        <v>306</v>
      </c>
      <c r="B34" s="107" t="s">
        <v>865</v>
      </c>
      <c r="C34" s="108">
        <v>6629</v>
      </c>
      <c r="D34" s="109">
        <v>3315</v>
      </c>
    </row>
    <row r="35" spans="1:4" ht="15" thickBot="1" x14ac:dyDescent="0.4">
      <c r="A35" s="106" t="s">
        <v>306</v>
      </c>
      <c r="B35" s="107" t="s">
        <v>866</v>
      </c>
      <c r="C35" s="108">
        <v>4933</v>
      </c>
      <c r="D35" s="109">
        <v>2467</v>
      </c>
    </row>
    <row r="36" spans="1:4" ht="15" thickBot="1" x14ac:dyDescent="0.4">
      <c r="A36" s="106" t="s">
        <v>306</v>
      </c>
      <c r="B36" s="107" t="s">
        <v>867</v>
      </c>
      <c r="C36" s="110">
        <v>3360</v>
      </c>
      <c r="D36" s="111">
        <v>1680</v>
      </c>
    </row>
    <row r="38" spans="1:4" x14ac:dyDescent="0.35">
      <c r="C38" s="112">
        <f>SUM(C14:C36)</f>
        <v>313188</v>
      </c>
      <c r="D38" s="112">
        <f>SUM(D14:D36)</f>
        <v>156592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0"/>
  <sheetViews>
    <sheetView topLeftCell="A18" workbookViewId="0">
      <selection activeCell="F20" sqref="F20"/>
    </sheetView>
  </sheetViews>
  <sheetFormatPr defaultRowHeight="14.5" x14ac:dyDescent="0.35"/>
  <cols>
    <col min="1" max="1" width="14.453125" customWidth="1"/>
    <col min="2" max="2" width="8.1796875" customWidth="1"/>
    <col min="3" max="4" width="8.453125" customWidth="1"/>
    <col min="5" max="5" width="8.1796875" customWidth="1"/>
    <col min="6" max="6" width="8.453125" customWidth="1"/>
    <col min="7" max="7" width="13.54296875" customWidth="1"/>
    <col min="8" max="13" width="7.81640625" customWidth="1"/>
    <col min="14" max="14" width="13.54296875" customWidth="1"/>
    <col min="15" max="15" width="7.7265625" bestFit="1" customWidth="1"/>
    <col min="16" max="16" width="7.26953125" bestFit="1" customWidth="1"/>
    <col min="17" max="17" width="7.54296875" bestFit="1" customWidth="1"/>
    <col min="18" max="18" width="8" bestFit="1" customWidth="1"/>
    <col min="19" max="19" width="14.453125" customWidth="1"/>
  </cols>
  <sheetData>
    <row r="1" spans="1:19" ht="15" thickBot="1" x14ac:dyDescent="0.4"/>
    <row r="2" spans="1:19" ht="17" thickBot="1" x14ac:dyDescent="0.4">
      <c r="A2" s="119" t="s">
        <v>868</v>
      </c>
      <c r="B2" s="120"/>
      <c r="C2" s="120"/>
      <c r="D2" s="120"/>
      <c r="E2" s="120"/>
      <c r="F2" s="120"/>
      <c r="G2" s="12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66" customHeight="1" thickBot="1" x14ac:dyDescent="0.4">
      <c r="A3" s="32" t="s">
        <v>869</v>
      </c>
      <c r="B3" s="38">
        <v>42248</v>
      </c>
      <c r="C3" s="38">
        <v>42278</v>
      </c>
      <c r="D3" s="38">
        <v>42309</v>
      </c>
      <c r="E3" s="38">
        <v>42339</v>
      </c>
      <c r="F3" s="38">
        <v>42370</v>
      </c>
      <c r="G3" s="33" t="s">
        <v>870</v>
      </c>
    </row>
    <row r="4" spans="1:19" ht="42.5" thickBot="1" x14ac:dyDescent="0.4">
      <c r="A4" s="34" t="s">
        <v>871</v>
      </c>
      <c r="B4" s="35">
        <v>71</v>
      </c>
      <c r="C4" s="35">
        <v>417</v>
      </c>
      <c r="D4" s="35">
        <v>112</v>
      </c>
      <c r="E4" s="35">
        <v>386</v>
      </c>
      <c r="F4" s="35">
        <v>103</v>
      </c>
      <c r="G4" s="36">
        <f>SUM(B4:F4)</f>
        <v>1089</v>
      </c>
    </row>
    <row r="5" spans="1:19" ht="15.5" x14ac:dyDescent="0.35">
      <c r="A5" s="37"/>
    </row>
    <row r="7" spans="1:19" ht="15" thickBot="1" x14ac:dyDescent="0.4"/>
    <row r="8" spans="1:19" ht="17" thickBot="1" x14ac:dyDescent="0.4">
      <c r="A8" s="116" t="s">
        <v>872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8"/>
    </row>
    <row r="9" spans="1:19" ht="66" customHeight="1" thickBot="1" x14ac:dyDescent="0.4">
      <c r="A9" s="32" t="s">
        <v>869</v>
      </c>
      <c r="B9" s="40">
        <v>42476</v>
      </c>
      <c r="C9" s="40">
        <v>42506</v>
      </c>
      <c r="D9" s="40">
        <v>42537</v>
      </c>
      <c r="E9" s="40">
        <v>42567</v>
      </c>
      <c r="F9" s="40">
        <v>42598</v>
      </c>
      <c r="G9" s="40">
        <v>42629</v>
      </c>
      <c r="H9" s="40">
        <v>42659</v>
      </c>
      <c r="I9" s="40">
        <v>42690</v>
      </c>
      <c r="J9" s="40">
        <v>42720</v>
      </c>
      <c r="K9" s="40">
        <v>42751</v>
      </c>
      <c r="L9" s="40">
        <v>42782</v>
      </c>
      <c r="M9" s="40">
        <v>42810</v>
      </c>
      <c r="N9" s="33" t="s">
        <v>870</v>
      </c>
    </row>
    <row r="10" spans="1:19" ht="57.75" customHeight="1" thickBot="1" x14ac:dyDescent="0.4">
      <c r="A10" s="34" t="s">
        <v>873</v>
      </c>
      <c r="B10" s="35">
        <v>108</v>
      </c>
      <c r="C10" s="35">
        <v>153</v>
      </c>
      <c r="D10" s="39" t="s">
        <v>874</v>
      </c>
      <c r="E10" s="39" t="s">
        <v>875</v>
      </c>
      <c r="F10" s="39" t="s">
        <v>876</v>
      </c>
      <c r="G10" s="39" t="s">
        <v>875</v>
      </c>
      <c r="H10" s="39">
        <v>83</v>
      </c>
      <c r="I10" s="39">
        <v>58</v>
      </c>
      <c r="J10" s="39">
        <v>41</v>
      </c>
      <c r="K10" s="39">
        <v>41</v>
      </c>
      <c r="L10" s="39">
        <v>14</v>
      </c>
      <c r="M10" s="39">
        <v>33</v>
      </c>
      <c r="N10" s="36">
        <f>SUM(B10:M10)</f>
        <v>531</v>
      </c>
    </row>
    <row r="12" spans="1:19" ht="15" thickBot="1" x14ac:dyDescent="0.4"/>
    <row r="13" spans="1:19" ht="17" thickBot="1" x14ac:dyDescent="0.4">
      <c r="A13" s="116" t="s">
        <v>877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8"/>
    </row>
    <row r="14" spans="1:19" ht="42.5" thickBot="1" x14ac:dyDescent="0.4">
      <c r="A14" s="32" t="s">
        <v>869</v>
      </c>
      <c r="B14" s="40">
        <v>42841</v>
      </c>
      <c r="C14" s="40">
        <v>42871</v>
      </c>
      <c r="D14" s="40">
        <v>42902</v>
      </c>
      <c r="E14" s="40">
        <v>42932</v>
      </c>
      <c r="F14" s="40">
        <v>42963</v>
      </c>
      <c r="G14" s="40">
        <v>42994</v>
      </c>
      <c r="H14" s="40">
        <v>43024</v>
      </c>
      <c r="I14" s="40">
        <v>43055</v>
      </c>
      <c r="J14" s="40">
        <v>43085</v>
      </c>
      <c r="K14" s="40">
        <v>43116</v>
      </c>
      <c r="L14" s="40">
        <v>43147</v>
      </c>
      <c r="M14" s="40">
        <v>43175</v>
      </c>
      <c r="N14" s="33" t="s">
        <v>870</v>
      </c>
    </row>
    <row r="15" spans="1:19" ht="42.5" thickBot="1" x14ac:dyDescent="0.4">
      <c r="A15" s="34" t="s">
        <v>873</v>
      </c>
      <c r="B15" s="35">
        <v>123</v>
      </c>
      <c r="C15" s="35">
        <v>123</v>
      </c>
      <c r="D15" s="35" t="s">
        <v>875</v>
      </c>
      <c r="E15" s="35">
        <v>37</v>
      </c>
      <c r="F15" s="35">
        <v>41</v>
      </c>
      <c r="G15" s="35" t="s">
        <v>875</v>
      </c>
      <c r="H15" s="35">
        <v>38</v>
      </c>
      <c r="I15" s="35">
        <v>280</v>
      </c>
      <c r="J15" s="35">
        <v>462</v>
      </c>
      <c r="K15" s="35">
        <v>448</v>
      </c>
      <c r="L15" s="35">
        <v>968</v>
      </c>
      <c r="M15" s="35">
        <v>1037</v>
      </c>
      <c r="N15" s="36">
        <f>SUM(B15:M15)</f>
        <v>3557</v>
      </c>
    </row>
    <row r="17" spans="1:14" ht="15" thickBot="1" x14ac:dyDescent="0.4"/>
    <row r="18" spans="1:14" ht="17" thickBot="1" x14ac:dyDescent="0.4">
      <c r="A18" s="116" t="s">
        <v>878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8"/>
    </row>
    <row r="19" spans="1:14" ht="42.5" thickBot="1" x14ac:dyDescent="0.4">
      <c r="A19" s="32" t="s">
        <v>869</v>
      </c>
      <c r="B19" s="40">
        <v>43206</v>
      </c>
      <c r="C19" s="40">
        <v>43236</v>
      </c>
      <c r="D19" s="40">
        <v>43267</v>
      </c>
      <c r="E19" s="40">
        <v>43297</v>
      </c>
      <c r="F19" s="40">
        <v>43328</v>
      </c>
      <c r="G19" s="40">
        <v>43359</v>
      </c>
      <c r="H19" s="40">
        <v>43389</v>
      </c>
      <c r="I19" s="40">
        <v>43420</v>
      </c>
      <c r="J19" s="40">
        <v>43450</v>
      </c>
      <c r="K19" s="40">
        <v>43481</v>
      </c>
      <c r="L19" s="40">
        <v>43512</v>
      </c>
      <c r="M19" s="40">
        <v>43540</v>
      </c>
      <c r="N19" s="33" t="s">
        <v>870</v>
      </c>
    </row>
    <row r="20" spans="1:14" ht="42.5" thickBot="1" x14ac:dyDescent="0.4">
      <c r="A20" s="34" t="s">
        <v>873</v>
      </c>
      <c r="B20" s="35">
        <v>298</v>
      </c>
      <c r="C20" s="35">
        <v>644</v>
      </c>
      <c r="D20" s="35">
        <v>691</v>
      </c>
      <c r="E20" s="35">
        <v>1044</v>
      </c>
      <c r="F20" s="35">
        <v>1280</v>
      </c>
      <c r="G20" s="35"/>
      <c r="H20" s="35"/>
      <c r="I20" s="35"/>
      <c r="J20" s="35"/>
      <c r="K20" s="35"/>
      <c r="L20" s="35"/>
      <c r="M20" s="35"/>
      <c r="N20" s="36">
        <f>SUM(B20:M20)</f>
        <v>3957</v>
      </c>
    </row>
  </sheetData>
  <mergeCells count="4">
    <mergeCell ref="A8:N8"/>
    <mergeCell ref="A2:G2"/>
    <mergeCell ref="A13:N13"/>
    <mergeCell ref="A18:N1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topLeftCell="A14" workbookViewId="0">
      <selection activeCell="A14" sqref="A14:N14"/>
    </sheetView>
  </sheetViews>
  <sheetFormatPr defaultRowHeight="14.5" x14ac:dyDescent="0.35"/>
  <cols>
    <col min="1" max="1" width="13.54296875" customWidth="1"/>
    <col min="14" max="14" width="14" customWidth="1"/>
  </cols>
  <sheetData>
    <row r="1" spans="1:14" ht="15" thickBot="1" x14ac:dyDescent="0.4"/>
    <row r="2" spans="1:14" ht="17" thickBot="1" x14ac:dyDescent="0.4">
      <c r="A2" s="119" t="s">
        <v>879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2"/>
    </row>
    <row r="3" spans="1:14" ht="42.5" thickBot="1" x14ac:dyDescent="0.4">
      <c r="A3" s="32" t="s">
        <v>869</v>
      </c>
      <c r="B3" s="40">
        <v>42476</v>
      </c>
      <c r="C3" s="40">
        <v>42506</v>
      </c>
      <c r="D3" s="40">
        <v>42537</v>
      </c>
      <c r="E3" s="40">
        <v>42567</v>
      </c>
      <c r="F3" s="40">
        <v>42598</v>
      </c>
      <c r="G3" s="40">
        <v>42629</v>
      </c>
      <c r="H3" s="40">
        <v>42659</v>
      </c>
      <c r="I3" s="40">
        <v>42690</v>
      </c>
      <c r="J3" s="40">
        <v>42720</v>
      </c>
      <c r="K3" s="40">
        <v>42751</v>
      </c>
      <c r="L3" s="40">
        <v>42782</v>
      </c>
      <c r="M3" s="40">
        <v>42810</v>
      </c>
      <c r="N3" s="33" t="s">
        <v>880</v>
      </c>
    </row>
    <row r="4" spans="1:14" ht="42.5" thickBot="1" x14ac:dyDescent="0.4">
      <c r="A4" s="34" t="s">
        <v>881</v>
      </c>
      <c r="B4" s="35" t="s">
        <v>882</v>
      </c>
      <c r="C4" s="35" t="s">
        <v>883</v>
      </c>
      <c r="D4" s="35" t="s">
        <v>876</v>
      </c>
      <c r="E4" s="35" t="s">
        <v>876</v>
      </c>
      <c r="F4" s="35" t="s">
        <v>884</v>
      </c>
      <c r="G4" s="35">
        <v>74</v>
      </c>
      <c r="H4" s="35">
        <v>2</v>
      </c>
      <c r="I4" s="35">
        <v>85</v>
      </c>
      <c r="J4" s="35">
        <v>264</v>
      </c>
      <c r="K4" s="35">
        <v>607</v>
      </c>
      <c r="L4" s="35">
        <v>345</v>
      </c>
      <c r="M4" s="35">
        <v>1352</v>
      </c>
      <c r="N4" s="36">
        <f>SUM(B4:M4)</f>
        <v>2729</v>
      </c>
    </row>
    <row r="7" spans="1:14" ht="15" thickBot="1" x14ac:dyDescent="0.4"/>
    <row r="8" spans="1:14" ht="17" thickBot="1" x14ac:dyDescent="0.4">
      <c r="A8" s="119" t="s">
        <v>885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2"/>
    </row>
    <row r="9" spans="1:14" ht="42.5" thickBot="1" x14ac:dyDescent="0.4">
      <c r="A9" s="32" t="s">
        <v>869</v>
      </c>
      <c r="B9" s="40">
        <v>42841</v>
      </c>
      <c r="C9" s="40">
        <v>42871</v>
      </c>
      <c r="D9" s="40">
        <v>42902</v>
      </c>
      <c r="E9" s="40">
        <v>42932</v>
      </c>
      <c r="F9" s="40">
        <v>42963</v>
      </c>
      <c r="G9" s="40">
        <v>42994</v>
      </c>
      <c r="H9" s="40">
        <v>43024</v>
      </c>
      <c r="I9" s="40">
        <v>43055</v>
      </c>
      <c r="J9" s="40">
        <v>43085</v>
      </c>
      <c r="K9" s="40">
        <v>43116</v>
      </c>
      <c r="L9" s="40">
        <v>43147</v>
      </c>
      <c r="M9" s="40">
        <v>43175</v>
      </c>
      <c r="N9" s="33" t="s">
        <v>880</v>
      </c>
    </row>
    <row r="10" spans="1:14" ht="42.5" thickBot="1" x14ac:dyDescent="0.4">
      <c r="A10" s="34" t="s">
        <v>881</v>
      </c>
      <c r="B10" s="35">
        <v>1803</v>
      </c>
      <c r="C10" s="35">
        <v>711</v>
      </c>
      <c r="D10" s="35">
        <v>392</v>
      </c>
      <c r="E10" s="35">
        <v>384</v>
      </c>
      <c r="F10" s="35">
        <v>497</v>
      </c>
      <c r="G10" s="35">
        <v>592</v>
      </c>
      <c r="H10" s="35">
        <v>1030</v>
      </c>
      <c r="I10" s="35">
        <v>920</v>
      </c>
      <c r="J10" s="35">
        <v>1354</v>
      </c>
      <c r="K10" s="35">
        <v>1512</v>
      </c>
      <c r="L10" s="35">
        <v>1166</v>
      </c>
      <c r="M10" s="35">
        <v>2204</v>
      </c>
      <c r="N10" s="36">
        <f>SUM(B10:M10)</f>
        <v>12565</v>
      </c>
    </row>
    <row r="13" spans="1:14" ht="15" thickBot="1" x14ac:dyDescent="0.4"/>
    <row r="14" spans="1:14" ht="17" thickBot="1" x14ac:dyDescent="0.4">
      <c r="A14" s="119" t="s">
        <v>886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2"/>
    </row>
    <row r="15" spans="1:14" ht="42.5" thickBot="1" x14ac:dyDescent="0.4">
      <c r="A15" s="32" t="s">
        <v>869</v>
      </c>
      <c r="B15" s="40">
        <v>43191</v>
      </c>
      <c r="C15" s="40">
        <v>43221</v>
      </c>
      <c r="D15" s="40">
        <v>43252</v>
      </c>
      <c r="E15" s="40">
        <v>43282</v>
      </c>
      <c r="F15" s="40">
        <v>43313</v>
      </c>
      <c r="G15" s="40">
        <v>43344</v>
      </c>
      <c r="H15" s="40">
        <v>43374</v>
      </c>
      <c r="I15" s="40">
        <v>43405</v>
      </c>
      <c r="J15" s="40">
        <v>43435</v>
      </c>
      <c r="K15" s="40">
        <v>43466</v>
      </c>
      <c r="L15" s="40">
        <v>43497</v>
      </c>
      <c r="M15" s="40">
        <v>43525</v>
      </c>
      <c r="N15" s="33" t="s">
        <v>880</v>
      </c>
    </row>
    <row r="16" spans="1:14" ht="42.5" thickBot="1" x14ac:dyDescent="0.4">
      <c r="A16" s="34" t="s">
        <v>881</v>
      </c>
      <c r="B16" s="56">
        <v>6061</v>
      </c>
      <c r="C16" s="56">
        <v>3005</v>
      </c>
      <c r="D16" s="56">
        <f>3043+45</f>
        <v>3088</v>
      </c>
      <c r="E16" s="56">
        <f>4348+103</f>
        <v>4451</v>
      </c>
      <c r="F16" s="56">
        <f>5456+300</f>
        <v>5756</v>
      </c>
      <c r="G16" s="56">
        <v>4045</v>
      </c>
      <c r="H16" s="56">
        <v>1854</v>
      </c>
      <c r="I16" s="56">
        <v>2736</v>
      </c>
      <c r="J16" s="56">
        <v>2946</v>
      </c>
      <c r="K16" s="56">
        <v>1047</v>
      </c>
      <c r="L16" s="56">
        <v>1582</v>
      </c>
      <c r="M16" s="56">
        <v>1138</v>
      </c>
      <c r="N16" s="57">
        <f>SUM(B16:M16)</f>
        <v>37709</v>
      </c>
    </row>
    <row r="19" spans="1:14" ht="15" thickBot="1" x14ac:dyDescent="0.4"/>
    <row r="20" spans="1:14" ht="17" thickBot="1" x14ac:dyDescent="0.4">
      <c r="A20" s="119" t="s">
        <v>887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2"/>
    </row>
    <row r="21" spans="1:14" ht="42.5" thickBot="1" x14ac:dyDescent="0.4">
      <c r="A21" s="32" t="s">
        <v>869</v>
      </c>
      <c r="B21" s="40">
        <v>43556</v>
      </c>
      <c r="C21" s="40">
        <v>43586</v>
      </c>
      <c r="D21" s="40">
        <v>43617</v>
      </c>
      <c r="E21" s="40">
        <v>43647</v>
      </c>
      <c r="F21" s="40">
        <v>43678</v>
      </c>
      <c r="G21" s="40">
        <v>43709</v>
      </c>
      <c r="H21" s="40">
        <v>43739</v>
      </c>
      <c r="I21" s="40">
        <v>43770</v>
      </c>
      <c r="J21" s="40">
        <v>43800</v>
      </c>
      <c r="K21" s="40">
        <v>43831</v>
      </c>
      <c r="L21" s="40">
        <v>43862</v>
      </c>
      <c r="M21" s="40">
        <v>43891</v>
      </c>
      <c r="N21" s="33" t="s">
        <v>880</v>
      </c>
    </row>
    <row r="22" spans="1:14" ht="42.5" thickBot="1" x14ac:dyDescent="0.4">
      <c r="A22" s="34" t="s">
        <v>881</v>
      </c>
      <c r="B22" s="56">
        <v>2145</v>
      </c>
      <c r="C22" s="56">
        <v>1405</v>
      </c>
      <c r="D22" s="56">
        <v>1318</v>
      </c>
      <c r="E22" s="56">
        <v>1187</v>
      </c>
      <c r="F22" s="56">
        <v>481</v>
      </c>
      <c r="G22" s="56">
        <v>606</v>
      </c>
      <c r="H22" s="56">
        <v>680</v>
      </c>
      <c r="I22" s="56">
        <v>879</v>
      </c>
      <c r="J22" s="56">
        <v>1908</v>
      </c>
      <c r="K22" s="56">
        <v>1715</v>
      </c>
      <c r="L22" s="56">
        <v>605</v>
      </c>
      <c r="M22" s="56">
        <v>455</v>
      </c>
      <c r="N22" s="57">
        <f>SUM(B22:M22)</f>
        <v>13384</v>
      </c>
    </row>
  </sheetData>
  <mergeCells count="4">
    <mergeCell ref="A2:N2"/>
    <mergeCell ref="A8:N8"/>
    <mergeCell ref="A14:N14"/>
    <mergeCell ref="A20:N2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"/>
  <sheetViews>
    <sheetView topLeftCell="A8" workbookViewId="0">
      <selection activeCell="A14" sqref="A14:N15"/>
    </sheetView>
  </sheetViews>
  <sheetFormatPr defaultRowHeight="14.5" x14ac:dyDescent="0.35"/>
  <cols>
    <col min="1" max="1" width="13.54296875" customWidth="1"/>
    <col min="14" max="14" width="13.7265625" customWidth="1"/>
  </cols>
  <sheetData>
    <row r="1" spans="1:14" ht="15" thickBot="1" x14ac:dyDescent="0.4"/>
    <row r="2" spans="1:14" ht="17" thickBot="1" x14ac:dyDescent="0.4">
      <c r="A2" s="119" t="s">
        <v>888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2"/>
    </row>
    <row r="3" spans="1:14" ht="42.5" thickBot="1" x14ac:dyDescent="0.4">
      <c r="A3" s="32" t="s">
        <v>869</v>
      </c>
      <c r="B3" s="40">
        <v>42476</v>
      </c>
      <c r="C3" s="40">
        <v>42506</v>
      </c>
      <c r="D3" s="40">
        <v>42537</v>
      </c>
      <c r="E3" s="40">
        <v>42567</v>
      </c>
      <c r="F3" s="40">
        <v>42598</v>
      </c>
      <c r="G3" s="40">
        <v>42629</v>
      </c>
      <c r="H3" s="40">
        <v>42659</v>
      </c>
      <c r="I3" s="40">
        <v>42690</v>
      </c>
      <c r="J3" s="40">
        <v>42720</v>
      </c>
      <c r="K3" s="40">
        <v>42751</v>
      </c>
      <c r="L3" s="40">
        <v>42782</v>
      </c>
      <c r="M3" s="40">
        <v>42810</v>
      </c>
      <c r="N3" s="33" t="s">
        <v>870</v>
      </c>
    </row>
    <row r="4" spans="1:14" ht="42.5" thickBot="1" x14ac:dyDescent="0.4">
      <c r="A4" s="34" t="s">
        <v>881</v>
      </c>
      <c r="B4" s="35">
        <v>310</v>
      </c>
      <c r="C4" s="35" t="s">
        <v>883</v>
      </c>
      <c r="D4" s="35" t="s">
        <v>883</v>
      </c>
      <c r="E4" s="35" t="s">
        <v>883</v>
      </c>
      <c r="F4" s="35">
        <v>64</v>
      </c>
      <c r="G4" s="35">
        <v>9</v>
      </c>
      <c r="H4" s="35">
        <v>57</v>
      </c>
      <c r="I4" s="35">
        <v>47</v>
      </c>
      <c r="J4" s="35">
        <v>65</v>
      </c>
      <c r="K4" s="35">
        <v>53</v>
      </c>
      <c r="L4" s="35">
        <v>33</v>
      </c>
      <c r="M4" s="35">
        <v>340</v>
      </c>
      <c r="N4" s="36">
        <f>SUM(B4:M4)</f>
        <v>978</v>
      </c>
    </row>
    <row r="7" spans="1:14" ht="15" thickBot="1" x14ac:dyDescent="0.4"/>
    <row r="8" spans="1:14" ht="17" thickBot="1" x14ac:dyDescent="0.4">
      <c r="A8" s="119" t="s">
        <v>889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2"/>
    </row>
    <row r="9" spans="1:14" ht="42.5" thickBot="1" x14ac:dyDescent="0.4">
      <c r="A9" s="32" t="s">
        <v>869</v>
      </c>
      <c r="B9" s="40">
        <v>42841</v>
      </c>
      <c r="C9" s="40">
        <v>42871</v>
      </c>
      <c r="D9" s="40">
        <v>42902</v>
      </c>
      <c r="E9" s="40">
        <v>42932</v>
      </c>
      <c r="F9" s="40">
        <v>42963</v>
      </c>
      <c r="G9" s="40">
        <v>42994</v>
      </c>
      <c r="H9" s="40">
        <v>43024</v>
      </c>
      <c r="I9" s="40">
        <v>43055</v>
      </c>
      <c r="J9" s="40">
        <v>43085</v>
      </c>
      <c r="K9" s="40">
        <v>43116</v>
      </c>
      <c r="L9" s="40">
        <v>43147</v>
      </c>
      <c r="M9" s="40">
        <v>43175</v>
      </c>
      <c r="N9" s="33" t="s">
        <v>870</v>
      </c>
    </row>
    <row r="10" spans="1:14" ht="42.5" thickBot="1" x14ac:dyDescent="0.4">
      <c r="A10" s="34" t="s">
        <v>881</v>
      </c>
      <c r="B10" s="35">
        <f>11+261</f>
        <v>272</v>
      </c>
      <c r="C10" s="35">
        <f>207+5</f>
        <v>212</v>
      </c>
      <c r="D10" s="35">
        <f>4+8+522+41</f>
        <v>575</v>
      </c>
      <c r="E10" s="35">
        <f>37+6+1+566</f>
        <v>610</v>
      </c>
      <c r="F10" s="35">
        <f>5+5+787</f>
        <v>797</v>
      </c>
      <c r="G10" s="35">
        <f>10+1+565</f>
        <v>576</v>
      </c>
      <c r="H10" s="35">
        <f>2+1+862+13</f>
        <v>878</v>
      </c>
      <c r="I10" s="35">
        <f>4+741+20+37</f>
        <v>802</v>
      </c>
      <c r="J10" s="35">
        <f>3+1485+20</f>
        <v>1508</v>
      </c>
      <c r="K10" s="35">
        <f>2+2134</f>
        <v>2136</v>
      </c>
      <c r="L10" s="35">
        <v>3066</v>
      </c>
      <c r="M10" s="35">
        <v>2733</v>
      </c>
      <c r="N10" s="36">
        <f>SUM(B10:M10)</f>
        <v>14165</v>
      </c>
    </row>
    <row r="12" spans="1:14" ht="15" thickBot="1" x14ac:dyDescent="0.4"/>
    <row r="13" spans="1:14" ht="17" thickBot="1" x14ac:dyDescent="0.4">
      <c r="A13" s="119" t="s">
        <v>890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2"/>
    </row>
    <row r="14" spans="1:14" ht="42.5" thickBot="1" x14ac:dyDescent="0.4">
      <c r="A14" s="32" t="s">
        <v>869</v>
      </c>
      <c r="B14" s="40">
        <v>43191</v>
      </c>
      <c r="C14" s="40">
        <v>43221</v>
      </c>
      <c r="D14" s="40">
        <v>43252</v>
      </c>
      <c r="E14" s="40">
        <v>43282</v>
      </c>
      <c r="F14" s="40">
        <v>43313</v>
      </c>
      <c r="G14" s="40">
        <v>43344</v>
      </c>
      <c r="H14" s="40">
        <v>43374</v>
      </c>
      <c r="I14" s="40">
        <v>43405</v>
      </c>
      <c r="J14" s="40">
        <v>43435</v>
      </c>
      <c r="K14" s="40">
        <v>43466</v>
      </c>
      <c r="L14" s="40">
        <v>43497</v>
      </c>
      <c r="M14" s="40">
        <v>43525</v>
      </c>
      <c r="N14" s="33" t="s">
        <v>870</v>
      </c>
    </row>
    <row r="15" spans="1:14" ht="42.5" thickBot="1" x14ac:dyDescent="0.4">
      <c r="A15" s="34" t="s">
        <v>881</v>
      </c>
      <c r="B15" s="56">
        <v>2497</v>
      </c>
      <c r="C15" s="56">
        <v>2352</v>
      </c>
      <c r="D15" s="56">
        <f>2687.23170450898+10</f>
        <v>2697.2317045089799</v>
      </c>
      <c r="E15" s="56">
        <f>2272.91954103165+5</f>
        <v>2277.9195410316502</v>
      </c>
      <c r="F15" s="56">
        <v>3023.8489374062769</v>
      </c>
      <c r="G15" s="56">
        <v>4669.3243862476002</v>
      </c>
      <c r="H15" s="56" t="s">
        <v>153</v>
      </c>
      <c r="I15" s="56" t="s">
        <v>153</v>
      </c>
      <c r="J15" s="56" t="s">
        <v>153</v>
      </c>
      <c r="K15" s="56" t="s">
        <v>153</v>
      </c>
      <c r="L15" s="56" t="s">
        <v>153</v>
      </c>
      <c r="M15" s="56" t="s">
        <v>153</v>
      </c>
      <c r="N15" s="57">
        <f>SUM(B15:M15)</f>
        <v>17517.324569194509</v>
      </c>
    </row>
  </sheetData>
  <mergeCells count="3">
    <mergeCell ref="A2:N2"/>
    <mergeCell ref="A8:N8"/>
    <mergeCell ref="A13:N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topLeftCell="A15" workbookViewId="0">
      <selection activeCell="N23" sqref="N23"/>
    </sheetView>
  </sheetViews>
  <sheetFormatPr defaultRowHeight="14.5" x14ac:dyDescent="0.35"/>
  <cols>
    <col min="1" max="1" width="13.54296875" customWidth="1"/>
    <col min="2" max="2" width="9.26953125" bestFit="1" customWidth="1"/>
    <col min="3" max="5" width="9.54296875" bestFit="1" customWidth="1"/>
    <col min="6" max="6" width="10.54296875" bestFit="1" customWidth="1"/>
    <col min="7" max="7" width="9.54296875" bestFit="1" customWidth="1"/>
    <col min="8" max="8" width="11.81640625" bestFit="1" customWidth="1"/>
    <col min="10" max="10" width="11.26953125" bestFit="1" customWidth="1"/>
    <col min="14" max="14" width="14.1796875" customWidth="1"/>
  </cols>
  <sheetData>
    <row r="1" spans="1:14" ht="15" thickBot="1" x14ac:dyDescent="0.4"/>
    <row r="2" spans="1:14" ht="17" thickBot="1" x14ac:dyDescent="0.4">
      <c r="A2" s="119" t="s">
        <v>891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2"/>
    </row>
    <row r="3" spans="1:14" ht="42.5" thickBot="1" x14ac:dyDescent="0.4">
      <c r="A3" s="32" t="s">
        <v>869</v>
      </c>
      <c r="B3" s="40">
        <v>42476</v>
      </c>
      <c r="C3" s="40">
        <v>42506</v>
      </c>
      <c r="D3" s="40">
        <v>42537</v>
      </c>
      <c r="E3" s="40">
        <v>42567</v>
      </c>
      <c r="F3" s="40">
        <v>42598</v>
      </c>
      <c r="G3" s="40">
        <v>42629</v>
      </c>
      <c r="H3" s="40">
        <v>42659</v>
      </c>
      <c r="I3" s="40">
        <v>42690</v>
      </c>
      <c r="J3" s="40">
        <v>42720</v>
      </c>
      <c r="K3" s="40">
        <v>42751</v>
      </c>
      <c r="L3" s="40">
        <v>42782</v>
      </c>
      <c r="M3" s="40">
        <v>42810</v>
      </c>
      <c r="N3" s="33" t="s">
        <v>870</v>
      </c>
    </row>
    <row r="4" spans="1:14" ht="42.5" thickBot="1" x14ac:dyDescent="0.4">
      <c r="A4" s="34" t="s">
        <v>881</v>
      </c>
      <c r="B4" s="35" t="s">
        <v>882</v>
      </c>
      <c r="C4" s="35" t="s">
        <v>883</v>
      </c>
      <c r="D4" s="35" t="s">
        <v>876</v>
      </c>
      <c r="E4" s="35" t="s">
        <v>876</v>
      </c>
      <c r="F4" s="35">
        <v>35</v>
      </c>
      <c r="G4" s="35">
        <v>26</v>
      </c>
      <c r="H4" s="35">
        <v>87</v>
      </c>
      <c r="I4" s="35">
        <v>11</v>
      </c>
      <c r="J4" s="35">
        <v>31</v>
      </c>
      <c r="K4" s="35">
        <v>139</v>
      </c>
      <c r="L4" s="35">
        <v>22</v>
      </c>
      <c r="M4" s="35">
        <v>112</v>
      </c>
      <c r="N4" s="36">
        <f>SUM(B4:M4)</f>
        <v>463</v>
      </c>
    </row>
    <row r="7" spans="1:14" ht="16.5" x14ac:dyDescent="0.35">
      <c r="A7" s="126" t="s">
        <v>892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</row>
    <row r="8" spans="1:14" ht="42" x14ac:dyDescent="0.35">
      <c r="A8" s="45" t="s">
        <v>869</v>
      </c>
      <c r="B8" s="46">
        <v>42841</v>
      </c>
      <c r="C8" s="46">
        <v>42871</v>
      </c>
      <c r="D8" s="46">
        <v>42902</v>
      </c>
      <c r="E8" s="46">
        <v>42932</v>
      </c>
      <c r="F8" s="46">
        <v>42963</v>
      </c>
      <c r="G8" s="46">
        <v>42994</v>
      </c>
      <c r="H8" s="46">
        <v>43024</v>
      </c>
      <c r="I8" s="46">
        <v>43055</v>
      </c>
      <c r="J8" s="46">
        <v>43085</v>
      </c>
      <c r="K8" s="46">
        <v>43116</v>
      </c>
      <c r="L8" s="46">
        <v>43147</v>
      </c>
      <c r="M8" s="46">
        <v>43175</v>
      </c>
      <c r="N8" s="45" t="s">
        <v>870</v>
      </c>
    </row>
    <row r="9" spans="1:14" ht="42" x14ac:dyDescent="0.35">
      <c r="A9" s="47" t="s">
        <v>881</v>
      </c>
      <c r="B9" s="48">
        <v>75</v>
      </c>
      <c r="C9" s="48">
        <f>8+5+66</f>
        <v>79</v>
      </c>
      <c r="D9" s="48">
        <f>12+5+130</f>
        <v>147</v>
      </c>
      <c r="E9" s="48">
        <f>9+9+371</f>
        <v>389</v>
      </c>
      <c r="F9" s="48">
        <f>25+20+436</f>
        <v>481</v>
      </c>
      <c r="G9" s="48">
        <f>6+210</f>
        <v>216</v>
      </c>
      <c r="H9" s="48">
        <f>7+140</f>
        <v>147</v>
      </c>
      <c r="I9" s="48">
        <f>9+6+313</f>
        <v>328</v>
      </c>
      <c r="J9" s="48">
        <f>8+3+321</f>
        <v>332</v>
      </c>
      <c r="K9" s="48">
        <f>7+4+352+9</f>
        <v>372</v>
      </c>
      <c r="L9" s="48">
        <f>6+4+348</f>
        <v>358</v>
      </c>
      <c r="M9" s="48">
        <f>42+18+1562</f>
        <v>1622</v>
      </c>
      <c r="N9" s="47">
        <f>SUM(B9:M9)</f>
        <v>4546</v>
      </c>
    </row>
    <row r="10" spans="1:14" x14ac:dyDescent="0.35">
      <c r="A10" s="47" t="s">
        <v>893</v>
      </c>
      <c r="B10" s="48" t="s">
        <v>153</v>
      </c>
      <c r="C10" s="48" t="s">
        <v>153</v>
      </c>
      <c r="D10" s="48" t="s">
        <v>153</v>
      </c>
      <c r="E10" s="48" t="s">
        <v>153</v>
      </c>
      <c r="F10" s="48" t="s">
        <v>153</v>
      </c>
      <c r="G10" s="48" t="s">
        <v>153</v>
      </c>
      <c r="H10" s="48">
        <v>43</v>
      </c>
      <c r="I10" s="48">
        <v>49</v>
      </c>
      <c r="J10" s="48">
        <v>24</v>
      </c>
      <c r="K10" s="48" t="s">
        <v>153</v>
      </c>
      <c r="L10" s="48" t="s">
        <v>153</v>
      </c>
      <c r="M10" s="48" t="s">
        <v>153</v>
      </c>
      <c r="N10" s="47">
        <f>SUM(B10:M10)</f>
        <v>116</v>
      </c>
    </row>
    <row r="11" spans="1:14" x14ac:dyDescent="0.35">
      <c r="A11" s="47" t="s">
        <v>894</v>
      </c>
      <c r="B11" s="48" t="s">
        <v>153</v>
      </c>
      <c r="C11" s="48" t="s">
        <v>153</v>
      </c>
      <c r="D11" s="48" t="s">
        <v>153</v>
      </c>
      <c r="E11" s="48" t="s">
        <v>153</v>
      </c>
      <c r="F11" s="48" t="s">
        <v>153</v>
      </c>
      <c r="G11" s="48" t="s">
        <v>153</v>
      </c>
      <c r="H11" s="48" t="s">
        <v>153</v>
      </c>
      <c r="I11" s="48" t="s">
        <v>153</v>
      </c>
      <c r="J11" s="48">
        <v>29</v>
      </c>
      <c r="K11" s="48" t="s">
        <v>153</v>
      </c>
      <c r="L11" s="48" t="s">
        <v>153</v>
      </c>
      <c r="M11" s="48" t="s">
        <v>153</v>
      </c>
      <c r="N11" s="47">
        <f>SUM(B11:M11)</f>
        <v>29</v>
      </c>
    </row>
    <row r="12" spans="1:14" x14ac:dyDescent="0.35">
      <c r="A12" s="47" t="s">
        <v>895</v>
      </c>
      <c r="B12" s="48" t="s">
        <v>153</v>
      </c>
      <c r="C12" s="48" t="s">
        <v>153</v>
      </c>
      <c r="D12" s="48" t="s">
        <v>153</v>
      </c>
      <c r="E12" s="48" t="s">
        <v>153</v>
      </c>
      <c r="F12" s="48" t="s">
        <v>153</v>
      </c>
      <c r="G12" s="48" t="s">
        <v>153</v>
      </c>
      <c r="H12" s="48" t="s">
        <v>153</v>
      </c>
      <c r="I12" s="48" t="s">
        <v>153</v>
      </c>
      <c r="J12" s="48" t="s">
        <v>153</v>
      </c>
      <c r="K12" s="48">
        <v>9</v>
      </c>
      <c r="L12" s="48" t="s">
        <v>153</v>
      </c>
      <c r="M12" s="48" t="s">
        <v>153</v>
      </c>
      <c r="N12" s="47">
        <f>SUM(B12:M12)</f>
        <v>9</v>
      </c>
    </row>
    <row r="16" spans="1:14" ht="16.5" x14ac:dyDescent="0.35">
      <c r="A16" s="123" t="s">
        <v>896</v>
      </c>
      <c r="B16" s="124"/>
      <c r="C16" s="124"/>
      <c r="D16" s="124"/>
      <c r="E16" s="124"/>
      <c r="F16" s="124"/>
      <c r="G16" s="124"/>
      <c r="H16" s="125"/>
    </row>
    <row r="17" spans="1:10" ht="56" x14ac:dyDescent="0.35">
      <c r="A17" s="45" t="s">
        <v>869</v>
      </c>
      <c r="B17" s="46">
        <v>43206</v>
      </c>
      <c r="C17" s="46">
        <v>43236</v>
      </c>
      <c r="D17" s="46">
        <v>43267</v>
      </c>
      <c r="E17" s="46">
        <v>43297</v>
      </c>
      <c r="F17" s="46">
        <v>43328</v>
      </c>
      <c r="G17" s="46">
        <v>43359</v>
      </c>
      <c r="H17" s="45" t="s">
        <v>870</v>
      </c>
    </row>
    <row r="18" spans="1:10" ht="42" x14ac:dyDescent="0.35">
      <c r="A18" s="47" t="s">
        <v>881</v>
      </c>
      <c r="B18" s="50">
        <v>4</v>
      </c>
      <c r="C18" s="50">
        <v>445</v>
      </c>
      <c r="D18" s="50">
        <v>873</v>
      </c>
      <c r="E18" s="50">
        <v>930</v>
      </c>
      <c r="F18" s="50">
        <v>1079</v>
      </c>
      <c r="G18" s="50">
        <v>745</v>
      </c>
      <c r="H18" s="52">
        <f>SUM(B18:G18)</f>
        <v>4076</v>
      </c>
    </row>
    <row r="21" spans="1:10" ht="16.5" x14ac:dyDescent="0.35">
      <c r="A21" s="126" t="s">
        <v>897</v>
      </c>
      <c r="B21" s="126"/>
      <c r="C21" s="126"/>
      <c r="D21" s="126"/>
      <c r="E21" s="126"/>
      <c r="F21" s="126"/>
      <c r="G21" s="126"/>
      <c r="H21" s="126"/>
      <c r="I21" s="126"/>
      <c r="J21" s="126"/>
    </row>
    <row r="22" spans="1:10" ht="70" x14ac:dyDescent="0.35">
      <c r="A22" s="45" t="s">
        <v>869</v>
      </c>
      <c r="B22" s="46">
        <v>43206</v>
      </c>
      <c r="C22" s="46">
        <v>43236</v>
      </c>
      <c r="D22" s="46">
        <v>43267</v>
      </c>
      <c r="E22" s="46">
        <v>43297</v>
      </c>
      <c r="F22" s="46">
        <v>43328</v>
      </c>
      <c r="G22" s="46">
        <v>43359</v>
      </c>
      <c r="H22" s="46">
        <v>43389</v>
      </c>
      <c r="I22" s="46">
        <v>43420</v>
      </c>
      <c r="J22" s="45" t="s">
        <v>870</v>
      </c>
    </row>
    <row r="23" spans="1:10" ht="42" x14ac:dyDescent="0.35">
      <c r="A23" s="47" t="s">
        <v>881</v>
      </c>
      <c r="B23" s="50">
        <v>300</v>
      </c>
      <c r="C23" s="50">
        <v>644</v>
      </c>
      <c r="D23" s="50">
        <v>1978</v>
      </c>
      <c r="E23" s="50">
        <v>2189</v>
      </c>
      <c r="F23" s="50">
        <v>1798</v>
      </c>
      <c r="G23" s="50">
        <v>3206</v>
      </c>
      <c r="H23" s="48" t="s">
        <v>153</v>
      </c>
      <c r="I23" s="48" t="s">
        <v>153</v>
      </c>
      <c r="J23" s="52">
        <f>SUM(B23:I23)</f>
        <v>10115</v>
      </c>
    </row>
  </sheetData>
  <mergeCells count="4">
    <mergeCell ref="A16:H16"/>
    <mergeCell ref="A2:N2"/>
    <mergeCell ref="A7:N7"/>
    <mergeCell ref="A21:J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"/>
  <sheetViews>
    <sheetView workbookViewId="0">
      <selection activeCell="J4" sqref="J4"/>
    </sheetView>
  </sheetViews>
  <sheetFormatPr defaultRowHeight="14.5" x14ac:dyDescent="0.35"/>
  <cols>
    <col min="1" max="1" width="13.54296875" customWidth="1"/>
    <col min="14" max="14" width="13.7265625" customWidth="1"/>
  </cols>
  <sheetData>
    <row r="1" spans="1:14" ht="15" thickBot="1" x14ac:dyDescent="0.4"/>
    <row r="2" spans="1:14" ht="17" thickBot="1" x14ac:dyDescent="0.4">
      <c r="A2" s="119" t="s">
        <v>898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2"/>
    </row>
    <row r="3" spans="1:14" ht="42.5" thickBot="1" x14ac:dyDescent="0.4">
      <c r="A3" s="32" t="s">
        <v>869</v>
      </c>
      <c r="B3" s="40">
        <v>42476</v>
      </c>
      <c r="C3" s="40">
        <v>42506</v>
      </c>
      <c r="D3" s="40">
        <v>42537</v>
      </c>
      <c r="E3" s="40">
        <v>42567</v>
      </c>
      <c r="F3" s="40">
        <v>42598</v>
      </c>
      <c r="G3" s="40">
        <v>42629</v>
      </c>
      <c r="H3" s="40">
        <v>42659</v>
      </c>
      <c r="I3" s="40">
        <v>42690</v>
      </c>
      <c r="J3" s="40">
        <v>42720</v>
      </c>
      <c r="K3" s="40">
        <v>42751</v>
      </c>
      <c r="L3" s="40">
        <v>42782</v>
      </c>
      <c r="M3" s="40">
        <v>42810</v>
      </c>
      <c r="N3" s="33" t="s">
        <v>870</v>
      </c>
    </row>
    <row r="4" spans="1:14" ht="42.5" thickBot="1" x14ac:dyDescent="0.4">
      <c r="A4" s="34" t="s">
        <v>881</v>
      </c>
      <c r="B4" s="35">
        <v>1955</v>
      </c>
      <c r="C4" s="35">
        <v>2052</v>
      </c>
      <c r="D4" s="35" t="s">
        <v>883</v>
      </c>
      <c r="E4" s="35" t="s">
        <v>883</v>
      </c>
      <c r="F4" s="35">
        <v>1739</v>
      </c>
      <c r="G4" s="35">
        <v>1682</v>
      </c>
      <c r="H4" s="35">
        <v>3099</v>
      </c>
      <c r="I4" s="35">
        <v>1876</v>
      </c>
      <c r="J4" s="35">
        <v>1425</v>
      </c>
      <c r="K4" s="35" t="s">
        <v>883</v>
      </c>
      <c r="L4" s="35" t="s">
        <v>883</v>
      </c>
      <c r="M4" s="35" t="s">
        <v>883</v>
      </c>
      <c r="N4" s="36">
        <f>SUM(B4:M4)</f>
        <v>13828</v>
      </c>
    </row>
  </sheetData>
  <mergeCells count="1">
    <mergeCell ref="A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4"/>
  <sheetViews>
    <sheetView workbookViewId="0">
      <selection activeCell="A12" sqref="A12:N14"/>
    </sheetView>
  </sheetViews>
  <sheetFormatPr defaultRowHeight="14.5" x14ac:dyDescent="0.35"/>
  <cols>
    <col min="1" max="1" width="13.54296875" customWidth="1"/>
    <col min="14" max="14" width="14.26953125" customWidth="1"/>
  </cols>
  <sheetData>
    <row r="1" spans="1:14" ht="15" thickBot="1" x14ac:dyDescent="0.4"/>
    <row r="2" spans="1:14" ht="17" thickBot="1" x14ac:dyDescent="0.4">
      <c r="A2" s="119" t="s">
        <v>899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2"/>
    </row>
    <row r="3" spans="1:14" ht="42.5" thickBot="1" x14ac:dyDescent="0.4">
      <c r="A3" s="32" t="s">
        <v>869</v>
      </c>
      <c r="B3" s="40">
        <v>42476</v>
      </c>
      <c r="C3" s="40">
        <v>42506</v>
      </c>
      <c r="D3" s="40">
        <v>42537</v>
      </c>
      <c r="E3" s="40">
        <v>42567</v>
      </c>
      <c r="F3" s="40">
        <v>42598</v>
      </c>
      <c r="G3" s="40">
        <v>42629</v>
      </c>
      <c r="H3" s="40">
        <v>42659</v>
      </c>
      <c r="I3" s="40">
        <v>42690</v>
      </c>
      <c r="J3" s="40">
        <v>42720</v>
      </c>
      <c r="K3" s="40">
        <v>42751</v>
      </c>
      <c r="L3" s="40">
        <v>42782</v>
      </c>
      <c r="M3" s="40">
        <v>42810</v>
      </c>
      <c r="N3" s="33" t="s">
        <v>870</v>
      </c>
    </row>
    <row r="4" spans="1:14" ht="42.5" thickBot="1" x14ac:dyDescent="0.4">
      <c r="A4" s="34" t="s">
        <v>881</v>
      </c>
      <c r="B4" s="35">
        <v>229</v>
      </c>
      <c r="C4" s="35">
        <v>107</v>
      </c>
      <c r="D4" s="35" t="s">
        <v>883</v>
      </c>
      <c r="E4" s="35" t="s">
        <v>883</v>
      </c>
      <c r="F4" s="35" t="s">
        <v>883</v>
      </c>
      <c r="G4" s="35" t="s">
        <v>883</v>
      </c>
      <c r="H4" s="35">
        <v>192</v>
      </c>
      <c r="I4" s="35">
        <v>190</v>
      </c>
      <c r="J4" s="35">
        <v>189</v>
      </c>
      <c r="K4" s="35" t="s">
        <v>883</v>
      </c>
      <c r="L4" s="35" t="s">
        <v>883</v>
      </c>
      <c r="M4" s="35" t="s">
        <v>883</v>
      </c>
      <c r="N4" s="36">
        <f>SUM(B4:M4)</f>
        <v>907</v>
      </c>
    </row>
    <row r="6" spans="1:14" ht="15" thickBot="1" x14ac:dyDescent="0.4"/>
    <row r="7" spans="1:14" ht="17" thickBot="1" x14ac:dyDescent="0.4">
      <c r="A7" s="119" t="s">
        <v>900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2"/>
    </row>
    <row r="8" spans="1:14" ht="42.5" thickBot="1" x14ac:dyDescent="0.4">
      <c r="A8" s="32" t="s">
        <v>869</v>
      </c>
      <c r="B8" s="40">
        <v>42841</v>
      </c>
      <c r="C8" s="40">
        <v>42871</v>
      </c>
      <c r="D8" s="40">
        <v>42902</v>
      </c>
      <c r="E8" s="40">
        <v>42932</v>
      </c>
      <c r="F8" s="40">
        <v>42963</v>
      </c>
      <c r="G8" s="40">
        <v>42994</v>
      </c>
      <c r="H8" s="40">
        <v>43024</v>
      </c>
      <c r="I8" s="40">
        <v>43055</v>
      </c>
      <c r="J8" s="40">
        <v>43085</v>
      </c>
      <c r="K8" s="40">
        <v>43116</v>
      </c>
      <c r="L8" s="40">
        <v>43147</v>
      </c>
      <c r="M8" s="40">
        <v>43175</v>
      </c>
      <c r="N8" s="33" t="s">
        <v>870</v>
      </c>
    </row>
    <row r="9" spans="1:14" ht="42.5" thickBot="1" x14ac:dyDescent="0.4">
      <c r="A9" s="34" t="s">
        <v>881</v>
      </c>
      <c r="B9" s="35" t="s">
        <v>883</v>
      </c>
      <c r="C9" s="35" t="s">
        <v>883</v>
      </c>
      <c r="D9" s="35" t="s">
        <v>883</v>
      </c>
      <c r="E9" s="35" t="s">
        <v>883</v>
      </c>
      <c r="F9" s="35" t="s">
        <v>883</v>
      </c>
      <c r="G9" s="35" t="s">
        <v>883</v>
      </c>
      <c r="H9" s="35" t="s">
        <v>883</v>
      </c>
      <c r="I9" s="35">
        <v>299</v>
      </c>
      <c r="J9" s="35">
        <v>676</v>
      </c>
      <c r="K9" s="35">
        <v>1120</v>
      </c>
      <c r="L9" s="35">
        <v>931</v>
      </c>
      <c r="M9" s="35">
        <v>1108</v>
      </c>
      <c r="N9" s="36">
        <f>SUM(B9:M9)</f>
        <v>4134</v>
      </c>
    </row>
    <row r="11" spans="1:14" ht="15" thickBot="1" x14ac:dyDescent="0.4"/>
    <row r="12" spans="1:14" ht="17" thickBot="1" x14ac:dyDescent="0.4">
      <c r="A12" s="119" t="s">
        <v>901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2"/>
    </row>
    <row r="13" spans="1:14" ht="42.5" thickBot="1" x14ac:dyDescent="0.4">
      <c r="A13" s="32" t="s">
        <v>869</v>
      </c>
      <c r="B13" s="40">
        <v>43191</v>
      </c>
      <c r="C13" s="40">
        <v>43221</v>
      </c>
      <c r="D13" s="40">
        <v>43252</v>
      </c>
      <c r="E13" s="40">
        <v>43282</v>
      </c>
      <c r="F13" s="40">
        <v>43313</v>
      </c>
      <c r="G13" s="40">
        <v>43344</v>
      </c>
      <c r="H13" s="40">
        <v>43374</v>
      </c>
      <c r="I13" s="40">
        <v>43405</v>
      </c>
      <c r="J13" s="40">
        <v>43435</v>
      </c>
      <c r="K13" s="40">
        <v>43466</v>
      </c>
      <c r="L13" s="40">
        <v>43497</v>
      </c>
      <c r="M13" s="40">
        <v>43525</v>
      </c>
      <c r="N13" s="33" t="s">
        <v>870</v>
      </c>
    </row>
    <row r="14" spans="1:14" ht="42.5" thickBot="1" x14ac:dyDescent="0.4">
      <c r="A14" s="34" t="s">
        <v>881</v>
      </c>
      <c r="B14" s="58">
        <v>1618.0129463305645</v>
      </c>
      <c r="C14" s="58">
        <v>1743.5987956126573</v>
      </c>
      <c r="D14" s="58">
        <v>1498.4293959846182</v>
      </c>
      <c r="E14" s="58">
        <v>1598.6883981591591</v>
      </c>
      <c r="F14" s="58">
        <v>2056.4070531253228</v>
      </c>
      <c r="G14" s="58">
        <v>1677.7124294295877</v>
      </c>
      <c r="H14" s="35" t="s">
        <v>883</v>
      </c>
      <c r="I14" s="35" t="s">
        <v>883</v>
      </c>
      <c r="J14" s="35" t="s">
        <v>883</v>
      </c>
      <c r="K14" s="35" t="s">
        <v>883</v>
      </c>
      <c r="L14" s="35" t="s">
        <v>883</v>
      </c>
      <c r="M14" s="35" t="s">
        <v>883</v>
      </c>
      <c r="N14" s="59">
        <f>SUM(B14:M14)</f>
        <v>10192.849018641909</v>
      </c>
    </row>
  </sheetData>
  <mergeCells count="3">
    <mergeCell ref="A2:N2"/>
    <mergeCell ref="A7:N7"/>
    <mergeCell ref="A12:N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"/>
  <sheetViews>
    <sheetView workbookViewId="0">
      <selection activeCell="H18" sqref="H18"/>
    </sheetView>
  </sheetViews>
  <sheetFormatPr defaultRowHeight="14.5" x14ac:dyDescent="0.35"/>
  <sheetData>
    <row r="1" spans="1:15" ht="17" thickBot="1" x14ac:dyDescent="0.4">
      <c r="A1" s="116" t="s">
        <v>902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</row>
    <row r="2" spans="1:15" ht="70" x14ac:dyDescent="0.35">
      <c r="A2" s="53" t="s">
        <v>869</v>
      </c>
      <c r="B2" s="54">
        <v>43175</v>
      </c>
      <c r="C2" s="54">
        <v>43206</v>
      </c>
      <c r="D2" s="54">
        <v>43236</v>
      </c>
      <c r="E2" s="54">
        <v>43267</v>
      </c>
      <c r="F2" s="54">
        <v>43297</v>
      </c>
      <c r="G2" s="54">
        <v>43328</v>
      </c>
      <c r="H2" s="54">
        <v>43359</v>
      </c>
      <c r="I2" s="54">
        <v>43389</v>
      </c>
      <c r="J2" s="54">
        <v>43420</v>
      </c>
      <c r="K2" s="54">
        <v>43450</v>
      </c>
      <c r="L2" s="54">
        <v>43481</v>
      </c>
      <c r="M2" s="54">
        <v>43512</v>
      </c>
      <c r="N2" s="54">
        <v>43540</v>
      </c>
      <c r="O2" s="55" t="s">
        <v>870</v>
      </c>
    </row>
    <row r="3" spans="1:15" ht="70" x14ac:dyDescent="0.35">
      <c r="A3" s="47" t="s">
        <v>873</v>
      </c>
      <c r="B3" s="50">
        <v>250</v>
      </c>
      <c r="C3" s="50">
        <v>214</v>
      </c>
      <c r="D3" s="50">
        <v>147</v>
      </c>
      <c r="E3" s="50">
        <v>88.657355341080603</v>
      </c>
      <c r="F3" s="50">
        <v>178.33049814863796</v>
      </c>
      <c r="G3" s="50">
        <v>346.10452642645737</v>
      </c>
      <c r="H3" s="50">
        <v>433.53504680472372</v>
      </c>
      <c r="I3" s="48" t="s">
        <v>153</v>
      </c>
      <c r="J3" s="48" t="s">
        <v>153</v>
      </c>
      <c r="K3" s="48" t="s">
        <v>153</v>
      </c>
      <c r="L3" s="48" t="s">
        <v>153</v>
      </c>
      <c r="M3" s="48" t="s">
        <v>153</v>
      </c>
      <c r="N3" s="48" t="s">
        <v>153</v>
      </c>
      <c r="O3" s="51">
        <f>SUM(B3:N3)</f>
        <v>1657.6274267208996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"/>
  <sheetViews>
    <sheetView workbookViewId="0">
      <selection sqref="A1:N3"/>
    </sheetView>
  </sheetViews>
  <sheetFormatPr defaultRowHeight="14.5" x14ac:dyDescent="0.35"/>
  <cols>
    <col min="1" max="1" width="12" customWidth="1"/>
  </cols>
  <sheetData>
    <row r="1" spans="1:14" ht="17" thickBot="1" x14ac:dyDescent="0.4">
      <c r="A1" s="119" t="s">
        <v>903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2"/>
    </row>
    <row r="2" spans="1:14" ht="70.5" thickBot="1" x14ac:dyDescent="0.4">
      <c r="A2" s="32" t="s">
        <v>869</v>
      </c>
      <c r="B2" s="40">
        <v>43191</v>
      </c>
      <c r="C2" s="40">
        <v>43221</v>
      </c>
      <c r="D2" s="40">
        <v>43252</v>
      </c>
      <c r="E2" s="40">
        <v>43282</v>
      </c>
      <c r="F2" s="40">
        <v>43313</v>
      </c>
      <c r="G2" s="40">
        <v>43344</v>
      </c>
      <c r="H2" s="40">
        <v>43374</v>
      </c>
      <c r="I2" s="40">
        <v>43405</v>
      </c>
      <c r="J2" s="40">
        <v>43435</v>
      </c>
      <c r="K2" s="40">
        <v>43466</v>
      </c>
      <c r="L2" s="40">
        <v>43497</v>
      </c>
      <c r="M2" s="40">
        <v>43525</v>
      </c>
      <c r="N2" s="33" t="s">
        <v>904</v>
      </c>
    </row>
    <row r="3" spans="1:14" ht="56.5" thickBot="1" x14ac:dyDescent="0.4">
      <c r="A3" s="34" t="s">
        <v>881</v>
      </c>
      <c r="B3" s="58" t="s">
        <v>153</v>
      </c>
      <c r="C3" s="58">
        <v>8</v>
      </c>
      <c r="D3" s="58">
        <v>15.77</v>
      </c>
      <c r="E3" s="58">
        <v>12.36</v>
      </c>
      <c r="F3" s="58">
        <v>18.829999999999998</v>
      </c>
      <c r="G3" s="58">
        <v>26.17</v>
      </c>
      <c r="H3" s="35">
        <v>20</v>
      </c>
      <c r="I3" s="35">
        <v>7</v>
      </c>
      <c r="J3" s="35">
        <v>7</v>
      </c>
      <c r="K3" s="35">
        <v>6</v>
      </c>
      <c r="L3" s="35">
        <v>7</v>
      </c>
      <c r="M3" s="35">
        <v>6</v>
      </c>
      <c r="N3" s="59">
        <f>SUM(B3:M3)</f>
        <v>134.13</v>
      </c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opLeftCell="A13" workbookViewId="0">
      <selection activeCell="F19" sqref="F19"/>
    </sheetView>
  </sheetViews>
  <sheetFormatPr defaultRowHeight="14.5" x14ac:dyDescent="0.35"/>
  <cols>
    <col min="1" max="1" width="18" customWidth="1"/>
    <col min="14" max="14" width="16.1796875" customWidth="1"/>
  </cols>
  <sheetData>
    <row r="1" spans="1:14" ht="17" thickBot="1" x14ac:dyDescent="0.4">
      <c r="A1" s="119" t="s">
        <v>905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2"/>
    </row>
    <row r="2" spans="1:14" ht="42.5" thickBot="1" x14ac:dyDescent="0.4">
      <c r="A2" s="32" t="s">
        <v>869</v>
      </c>
      <c r="B2" s="40">
        <v>43191</v>
      </c>
      <c r="C2" s="40">
        <v>43221</v>
      </c>
      <c r="D2" s="40">
        <v>43252</v>
      </c>
      <c r="E2" s="40">
        <v>43282</v>
      </c>
      <c r="F2" s="40">
        <v>43313</v>
      </c>
      <c r="G2" s="40">
        <v>43344</v>
      </c>
      <c r="H2" s="40">
        <v>43374</v>
      </c>
      <c r="I2" s="40">
        <v>43405</v>
      </c>
      <c r="J2" s="40">
        <v>43435</v>
      </c>
      <c r="K2" s="40">
        <v>43466</v>
      </c>
      <c r="L2" s="40">
        <v>43497</v>
      </c>
      <c r="M2" s="40">
        <v>43525</v>
      </c>
      <c r="N2" s="33" t="s">
        <v>906</v>
      </c>
    </row>
    <row r="3" spans="1:14" ht="28.5" thickBot="1" x14ac:dyDescent="0.4">
      <c r="A3" s="34" t="s">
        <v>881</v>
      </c>
      <c r="B3" s="58" t="s">
        <v>153</v>
      </c>
      <c r="C3" s="58" t="s">
        <v>153</v>
      </c>
      <c r="D3" s="58" t="s">
        <v>153</v>
      </c>
      <c r="E3" s="58" t="s">
        <v>153</v>
      </c>
      <c r="F3" s="58" t="s">
        <v>153</v>
      </c>
      <c r="G3" s="58" t="s">
        <v>153</v>
      </c>
      <c r="H3" s="58" t="s">
        <v>153</v>
      </c>
      <c r="I3" s="58" t="s">
        <v>153</v>
      </c>
      <c r="J3" s="58" t="s">
        <v>153</v>
      </c>
      <c r="K3" s="58" t="s">
        <v>153</v>
      </c>
      <c r="L3" s="58" t="s">
        <v>153</v>
      </c>
      <c r="M3" s="58">
        <v>1640</v>
      </c>
      <c r="N3" s="59">
        <f>SUM(B3:M3)</f>
        <v>1640</v>
      </c>
    </row>
    <row r="4" spans="1:14" ht="15" thickBot="1" x14ac:dyDescent="0.4"/>
    <row r="5" spans="1:14" ht="17" thickBot="1" x14ac:dyDescent="0.4">
      <c r="A5" s="119" t="s">
        <v>907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2"/>
    </row>
    <row r="6" spans="1:14" ht="42.5" thickBot="1" x14ac:dyDescent="0.4">
      <c r="A6" s="32" t="s">
        <v>869</v>
      </c>
      <c r="B6" s="40">
        <v>43191</v>
      </c>
      <c r="C6" s="40">
        <v>43221</v>
      </c>
      <c r="D6" s="40">
        <v>43252</v>
      </c>
      <c r="E6" s="40">
        <v>43282</v>
      </c>
      <c r="F6" s="40">
        <v>43313</v>
      </c>
      <c r="G6" s="40">
        <v>43344</v>
      </c>
      <c r="H6" s="40">
        <v>43374</v>
      </c>
      <c r="I6" s="40">
        <v>43405</v>
      </c>
      <c r="J6" s="40">
        <v>43435</v>
      </c>
      <c r="K6" s="40">
        <v>43466</v>
      </c>
      <c r="L6" s="40">
        <v>43497</v>
      </c>
      <c r="M6" s="40">
        <v>43525</v>
      </c>
      <c r="N6" s="33" t="s">
        <v>906</v>
      </c>
    </row>
    <row r="7" spans="1:14" ht="28.5" thickBot="1" x14ac:dyDescent="0.4">
      <c r="A7" s="34" t="s">
        <v>881</v>
      </c>
      <c r="B7" s="58" t="s">
        <v>153</v>
      </c>
      <c r="C7" s="58" t="s">
        <v>153</v>
      </c>
      <c r="D7" s="58" t="s">
        <v>153</v>
      </c>
      <c r="E7" s="58" t="s">
        <v>153</v>
      </c>
      <c r="F7" s="58" t="s">
        <v>153</v>
      </c>
      <c r="G7" s="58" t="s">
        <v>153</v>
      </c>
      <c r="H7" s="58" t="s">
        <v>153</v>
      </c>
      <c r="I7" s="58" t="s">
        <v>153</v>
      </c>
      <c r="J7" s="58" t="s">
        <v>153</v>
      </c>
      <c r="K7" s="58" t="s">
        <v>153</v>
      </c>
      <c r="L7" s="58" t="s">
        <v>153</v>
      </c>
      <c r="M7" s="58">
        <v>2744</v>
      </c>
      <c r="N7" s="59">
        <f>SUM(B7:M7)</f>
        <v>2744</v>
      </c>
    </row>
    <row r="10" spans="1:14" ht="15" thickBot="1" x14ac:dyDescent="0.4"/>
    <row r="11" spans="1:14" ht="17" thickBot="1" x14ac:dyDescent="0.4">
      <c r="A11" s="119" t="s">
        <v>908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2"/>
    </row>
    <row r="12" spans="1:14" ht="42.5" thickBot="1" x14ac:dyDescent="0.4">
      <c r="A12" s="32" t="s">
        <v>869</v>
      </c>
      <c r="B12" s="40">
        <v>43191</v>
      </c>
      <c r="C12" s="40">
        <v>43221</v>
      </c>
      <c r="D12" s="40">
        <v>43252</v>
      </c>
      <c r="E12" s="40">
        <v>43282</v>
      </c>
      <c r="F12" s="40">
        <v>43313</v>
      </c>
      <c r="G12" s="40">
        <v>43344</v>
      </c>
      <c r="H12" s="40">
        <v>43374</v>
      </c>
      <c r="I12" s="40">
        <v>43405</v>
      </c>
      <c r="J12" s="40">
        <v>43435</v>
      </c>
      <c r="K12" s="40">
        <v>43466</v>
      </c>
      <c r="L12" s="40">
        <v>43497</v>
      </c>
      <c r="M12" s="40">
        <v>43525</v>
      </c>
      <c r="N12" s="33" t="s">
        <v>906</v>
      </c>
    </row>
    <row r="13" spans="1:14" ht="28.5" thickBot="1" x14ac:dyDescent="0.4">
      <c r="A13" s="34" t="s">
        <v>881</v>
      </c>
      <c r="B13" s="58" t="s">
        <v>153</v>
      </c>
      <c r="C13" s="58" t="s">
        <v>153</v>
      </c>
      <c r="D13" s="58" t="s">
        <v>153</v>
      </c>
      <c r="E13" s="58" t="s">
        <v>153</v>
      </c>
      <c r="F13" s="58" t="s">
        <v>153</v>
      </c>
      <c r="G13" s="58" t="s">
        <v>153</v>
      </c>
      <c r="H13" s="58" t="s">
        <v>153</v>
      </c>
      <c r="I13" s="58" t="s">
        <v>153</v>
      </c>
      <c r="J13" s="58" t="s">
        <v>153</v>
      </c>
      <c r="K13" s="58" t="s">
        <v>153</v>
      </c>
      <c r="L13" s="58" t="s">
        <v>153</v>
      </c>
      <c r="M13" s="58">
        <v>1640</v>
      </c>
      <c r="N13" s="59">
        <f>SUM(B13:M13)</f>
        <v>1640</v>
      </c>
    </row>
    <row r="15" spans="1:14" ht="16.5" x14ac:dyDescent="0.35">
      <c r="A15" s="126" t="s">
        <v>909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</row>
    <row r="16" spans="1:14" ht="39" x14ac:dyDescent="0.35">
      <c r="A16" s="45" t="s">
        <v>869</v>
      </c>
      <c r="B16" s="46">
        <v>43556</v>
      </c>
      <c r="C16" s="46">
        <v>43586</v>
      </c>
      <c r="D16" s="46">
        <v>43617</v>
      </c>
      <c r="E16" s="46">
        <v>43647</v>
      </c>
      <c r="F16" s="46">
        <v>43678</v>
      </c>
      <c r="G16" s="46">
        <v>43709</v>
      </c>
      <c r="H16" s="46">
        <v>43739</v>
      </c>
      <c r="I16" s="46">
        <v>43770</v>
      </c>
      <c r="J16" s="46">
        <v>43800</v>
      </c>
      <c r="K16" s="46">
        <v>43831</v>
      </c>
      <c r="L16" s="46">
        <v>43862</v>
      </c>
      <c r="M16" s="46">
        <v>43891</v>
      </c>
      <c r="N16" s="76" t="s">
        <v>906</v>
      </c>
    </row>
    <row r="17" spans="1:14" ht="15.75" customHeight="1" x14ac:dyDescent="0.35">
      <c r="A17" s="47" t="s">
        <v>910</v>
      </c>
      <c r="B17" s="50">
        <v>859</v>
      </c>
      <c r="C17" s="50">
        <v>1403</v>
      </c>
      <c r="D17" s="50">
        <v>874</v>
      </c>
      <c r="E17" s="50">
        <v>766</v>
      </c>
      <c r="F17" s="50">
        <v>100</v>
      </c>
      <c r="G17" s="50">
        <v>497</v>
      </c>
      <c r="H17" s="50">
        <v>1923</v>
      </c>
      <c r="I17" s="50">
        <v>845</v>
      </c>
      <c r="J17" s="50" t="s">
        <v>153</v>
      </c>
      <c r="K17" s="50" t="s">
        <v>153</v>
      </c>
      <c r="L17" s="50" t="s">
        <v>153</v>
      </c>
      <c r="M17" s="50" t="s">
        <v>153</v>
      </c>
      <c r="N17" s="51">
        <f>SUM(B17:M17)</f>
        <v>7267</v>
      </c>
    </row>
    <row r="18" spans="1:14" ht="15.75" customHeight="1" x14ac:dyDescent="0.35">
      <c r="A18" s="47" t="s">
        <v>911</v>
      </c>
      <c r="B18" s="50">
        <v>902</v>
      </c>
      <c r="C18" s="50">
        <v>272</v>
      </c>
      <c r="D18" s="50">
        <v>80</v>
      </c>
      <c r="E18" s="50">
        <v>31</v>
      </c>
      <c r="F18" s="50">
        <v>953</v>
      </c>
      <c r="G18" s="50">
        <v>468.20000000000005</v>
      </c>
      <c r="H18" s="50">
        <v>57.1</v>
      </c>
      <c r="I18" s="50">
        <v>29.900000000000002</v>
      </c>
      <c r="J18" s="50">
        <v>33.6</v>
      </c>
      <c r="K18" s="50" t="s">
        <v>153</v>
      </c>
      <c r="L18" s="50" t="s">
        <v>153</v>
      </c>
      <c r="M18" s="50" t="s">
        <v>153</v>
      </c>
      <c r="N18" s="51">
        <f t="shared" ref="N18:N24" si="0">SUM(B18:M18)</f>
        <v>2826.7999999999997</v>
      </c>
    </row>
    <row r="19" spans="1:14" ht="15.75" customHeight="1" x14ac:dyDescent="0.35">
      <c r="A19" s="47" t="s">
        <v>894</v>
      </c>
      <c r="B19" s="50">
        <v>8</v>
      </c>
      <c r="C19" s="50">
        <v>7</v>
      </c>
      <c r="D19" s="50">
        <v>2</v>
      </c>
      <c r="E19" s="50">
        <v>2</v>
      </c>
      <c r="F19" s="50">
        <v>4</v>
      </c>
      <c r="G19" s="50">
        <v>2</v>
      </c>
      <c r="H19" s="50">
        <v>2</v>
      </c>
      <c r="I19" s="50">
        <v>1</v>
      </c>
      <c r="J19" s="50" t="s">
        <v>153</v>
      </c>
      <c r="K19" s="50" t="s">
        <v>153</v>
      </c>
      <c r="L19" s="50" t="s">
        <v>153</v>
      </c>
      <c r="M19" s="50" t="s">
        <v>153</v>
      </c>
      <c r="N19" s="51">
        <f t="shared" si="0"/>
        <v>28</v>
      </c>
    </row>
    <row r="20" spans="1:14" ht="15.75" customHeight="1" x14ac:dyDescent="0.35">
      <c r="A20" s="47" t="s">
        <v>296</v>
      </c>
      <c r="B20" s="50">
        <v>2</v>
      </c>
      <c r="C20" s="50">
        <v>2</v>
      </c>
      <c r="D20" s="50" t="s">
        <v>153</v>
      </c>
      <c r="E20" s="50" t="s">
        <v>153</v>
      </c>
      <c r="F20" s="50" t="s">
        <v>153</v>
      </c>
      <c r="G20" s="50">
        <v>1</v>
      </c>
      <c r="H20" s="50" t="s">
        <v>153</v>
      </c>
      <c r="I20" s="50">
        <v>1</v>
      </c>
      <c r="J20" s="50" t="s">
        <v>153</v>
      </c>
      <c r="K20" s="50" t="s">
        <v>153</v>
      </c>
      <c r="L20" s="50" t="s">
        <v>153</v>
      </c>
      <c r="M20" s="50" t="s">
        <v>153</v>
      </c>
      <c r="N20" s="51">
        <f t="shared" si="0"/>
        <v>6</v>
      </c>
    </row>
    <row r="21" spans="1:14" ht="15.75" customHeight="1" x14ac:dyDescent="0.35">
      <c r="A21" s="47" t="s">
        <v>250</v>
      </c>
      <c r="B21" s="50">
        <v>3</v>
      </c>
      <c r="C21" s="50">
        <v>13</v>
      </c>
      <c r="D21" s="50">
        <v>21</v>
      </c>
      <c r="E21" s="50">
        <v>11</v>
      </c>
      <c r="F21" s="50">
        <v>8</v>
      </c>
      <c r="G21" s="50">
        <v>6</v>
      </c>
      <c r="H21" s="50">
        <v>10</v>
      </c>
      <c r="I21" s="50">
        <v>4</v>
      </c>
      <c r="J21" s="50" t="s">
        <v>153</v>
      </c>
      <c r="K21" s="50" t="s">
        <v>153</v>
      </c>
      <c r="L21" s="50" t="s">
        <v>153</v>
      </c>
      <c r="M21" s="50" t="s">
        <v>153</v>
      </c>
      <c r="N21" s="51">
        <f t="shared" si="0"/>
        <v>76</v>
      </c>
    </row>
    <row r="22" spans="1:14" ht="15.75" customHeight="1" x14ac:dyDescent="0.35">
      <c r="A22" s="47" t="s">
        <v>912</v>
      </c>
      <c r="B22" s="50">
        <v>115</v>
      </c>
      <c r="C22" s="50">
        <v>110</v>
      </c>
      <c r="D22" s="50">
        <v>92</v>
      </c>
      <c r="E22" s="50">
        <v>78.286237168312113</v>
      </c>
      <c r="F22" s="50">
        <v>42.917483944261463</v>
      </c>
      <c r="G22" s="50">
        <v>44.829621806207712</v>
      </c>
      <c r="H22" s="50">
        <v>33.095739501504355</v>
      </c>
      <c r="I22" s="50" t="s">
        <v>153</v>
      </c>
      <c r="J22" s="50" t="s">
        <v>153</v>
      </c>
      <c r="K22" s="50" t="s">
        <v>153</v>
      </c>
      <c r="L22" s="50" t="s">
        <v>153</v>
      </c>
      <c r="M22" s="50" t="s">
        <v>153</v>
      </c>
      <c r="N22" s="51">
        <f t="shared" si="0"/>
        <v>516.12908242028561</v>
      </c>
    </row>
    <row r="23" spans="1:14" ht="15.75" customHeight="1" x14ac:dyDescent="0.35">
      <c r="A23" s="47" t="s">
        <v>913</v>
      </c>
      <c r="B23" s="50" t="s">
        <v>153</v>
      </c>
      <c r="C23" s="50">
        <v>14</v>
      </c>
      <c r="D23" s="50">
        <v>12</v>
      </c>
      <c r="E23" s="50">
        <v>1</v>
      </c>
      <c r="F23" s="50" t="s">
        <v>153</v>
      </c>
      <c r="G23" s="50" t="s">
        <v>153</v>
      </c>
      <c r="H23" s="50" t="s">
        <v>153</v>
      </c>
      <c r="I23" s="50" t="s">
        <v>153</v>
      </c>
      <c r="J23" s="50" t="s">
        <v>153</v>
      </c>
      <c r="K23" s="50" t="s">
        <v>153</v>
      </c>
      <c r="L23" s="50" t="s">
        <v>153</v>
      </c>
      <c r="M23" s="50" t="s">
        <v>153</v>
      </c>
      <c r="N23" s="51">
        <f t="shared" si="0"/>
        <v>27</v>
      </c>
    </row>
    <row r="24" spans="1:14" ht="15.75" customHeight="1" x14ac:dyDescent="0.35">
      <c r="A24" s="47" t="s">
        <v>236</v>
      </c>
      <c r="B24" s="50">
        <v>1</v>
      </c>
      <c r="C24" s="50" t="s">
        <v>153</v>
      </c>
      <c r="D24" s="50" t="s">
        <v>153</v>
      </c>
      <c r="E24" s="50" t="s">
        <v>153</v>
      </c>
      <c r="F24" s="50">
        <v>1</v>
      </c>
      <c r="G24" s="50" t="s">
        <v>153</v>
      </c>
      <c r="H24" s="50" t="s">
        <v>153</v>
      </c>
      <c r="I24" s="50">
        <v>1</v>
      </c>
      <c r="J24" s="50" t="s">
        <v>153</v>
      </c>
      <c r="K24" s="50" t="s">
        <v>153</v>
      </c>
      <c r="L24" s="50" t="s">
        <v>153</v>
      </c>
      <c r="M24" s="50" t="s">
        <v>153</v>
      </c>
      <c r="N24" s="51">
        <f t="shared" si="0"/>
        <v>3</v>
      </c>
    </row>
    <row r="26" spans="1:14" ht="15" thickBot="1" x14ac:dyDescent="0.4">
      <c r="K26" s="77" t="s">
        <v>914</v>
      </c>
      <c r="L26" s="77"/>
      <c r="M26" s="78"/>
      <c r="N26" s="79">
        <f>SUM(N17:N24)</f>
        <v>10749.929082420285</v>
      </c>
    </row>
    <row r="27" spans="1:14" ht="15" thickTop="1" x14ac:dyDescent="0.35"/>
  </sheetData>
  <mergeCells count="4">
    <mergeCell ref="A1:N1"/>
    <mergeCell ref="A5:N5"/>
    <mergeCell ref="A11:N11"/>
    <mergeCell ref="A15:N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0"/>
  <sheetViews>
    <sheetView topLeftCell="Q6" workbookViewId="0">
      <selection activeCell="U22" sqref="U22"/>
    </sheetView>
  </sheetViews>
  <sheetFormatPr defaultRowHeight="14.5" x14ac:dyDescent="0.35"/>
  <cols>
    <col min="1" max="1" width="13.81640625" customWidth="1"/>
    <col min="14" max="14" width="11.1796875" bestFit="1" customWidth="1"/>
    <col min="24" max="24" width="17.81640625" customWidth="1"/>
  </cols>
  <sheetData>
    <row r="1" spans="1:29" ht="26.5" thickBot="1" x14ac:dyDescent="0.4">
      <c r="A1" s="119" t="s">
        <v>915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2"/>
      <c r="W1" s="28" t="s">
        <v>842</v>
      </c>
      <c r="X1" s="28" t="s">
        <v>100</v>
      </c>
      <c r="Y1" s="28" t="s">
        <v>101</v>
      </c>
      <c r="Z1" s="28" t="s">
        <v>102</v>
      </c>
      <c r="AA1" s="29" t="s">
        <v>103</v>
      </c>
      <c r="AB1" s="28" t="s">
        <v>104</v>
      </c>
      <c r="AC1" s="28" t="s">
        <v>105</v>
      </c>
    </row>
    <row r="2" spans="1:29" x14ac:dyDescent="0.35">
      <c r="A2" s="61" t="s">
        <v>101</v>
      </c>
      <c r="B2" s="62">
        <v>43191</v>
      </c>
      <c r="C2" s="62">
        <v>43221</v>
      </c>
      <c r="D2" s="62">
        <v>43252</v>
      </c>
      <c r="E2" s="62">
        <v>43282</v>
      </c>
      <c r="F2" s="62">
        <v>43313</v>
      </c>
      <c r="G2" s="62">
        <v>43344</v>
      </c>
      <c r="H2" s="62">
        <v>43374</v>
      </c>
      <c r="I2" s="62">
        <v>43405</v>
      </c>
      <c r="J2" s="62">
        <v>43435</v>
      </c>
      <c r="K2" s="62">
        <v>43466</v>
      </c>
      <c r="L2" s="62">
        <v>43497</v>
      </c>
      <c r="M2" s="62">
        <v>43525</v>
      </c>
      <c r="N2" s="61" t="s">
        <v>916</v>
      </c>
      <c r="W2" s="30" t="s">
        <v>219</v>
      </c>
      <c r="X2" s="31" t="s">
        <v>285</v>
      </c>
      <c r="Y2" s="26" t="s">
        <v>250</v>
      </c>
      <c r="Z2" s="44" t="s">
        <v>155</v>
      </c>
      <c r="AA2" s="44">
        <v>7</v>
      </c>
      <c r="AB2" s="60">
        <v>0</v>
      </c>
      <c r="AC2" s="43">
        <v>0.2096997052431108</v>
      </c>
    </row>
    <row r="3" spans="1:29" x14ac:dyDescent="0.35">
      <c r="A3" s="68" t="s">
        <v>917</v>
      </c>
      <c r="B3" s="69">
        <v>8</v>
      </c>
      <c r="C3" s="69">
        <v>9</v>
      </c>
      <c r="D3" s="70">
        <v>6</v>
      </c>
      <c r="E3" s="70"/>
      <c r="F3" s="66"/>
      <c r="G3" s="65"/>
      <c r="H3" s="65"/>
      <c r="I3" s="65"/>
      <c r="J3" s="65"/>
      <c r="K3" s="66"/>
      <c r="L3" s="66"/>
      <c r="M3" s="66"/>
      <c r="N3" s="67">
        <f t="shared" ref="N3:N9" si="0">SUM(B3:M3)</f>
        <v>23</v>
      </c>
      <c r="W3" s="30" t="s">
        <v>219</v>
      </c>
      <c r="X3" s="31" t="s">
        <v>289</v>
      </c>
      <c r="Y3" s="26" t="s">
        <v>250</v>
      </c>
      <c r="Z3" s="44" t="s">
        <v>155</v>
      </c>
      <c r="AA3" s="44">
        <v>9</v>
      </c>
      <c r="AB3" s="43">
        <v>1</v>
      </c>
      <c r="AC3" s="43">
        <v>0.41976544260978699</v>
      </c>
    </row>
    <row r="4" spans="1:29" x14ac:dyDescent="0.35">
      <c r="A4" s="68" t="s">
        <v>918</v>
      </c>
      <c r="B4" s="65">
        <v>736</v>
      </c>
      <c r="C4" s="65">
        <f>3+384</f>
        <v>387</v>
      </c>
      <c r="D4" s="66">
        <v>5.87</v>
      </c>
      <c r="E4" s="65">
        <v>4.3600000000000003</v>
      </c>
      <c r="F4" s="65">
        <v>19.13</v>
      </c>
      <c r="G4" s="66">
        <v>46.48</v>
      </c>
      <c r="H4" s="66"/>
      <c r="I4" s="66"/>
      <c r="J4" s="66"/>
      <c r="K4" s="66"/>
      <c r="L4" s="66"/>
      <c r="M4" s="66"/>
      <c r="N4" s="67">
        <f t="shared" si="0"/>
        <v>1198.8399999999999</v>
      </c>
      <c r="W4" s="30" t="s">
        <v>219</v>
      </c>
      <c r="X4" s="31" t="s">
        <v>285</v>
      </c>
      <c r="Y4" s="24" t="s">
        <v>240</v>
      </c>
      <c r="Z4" s="44" t="s">
        <v>155</v>
      </c>
      <c r="AA4" s="44">
        <v>7</v>
      </c>
      <c r="AB4" s="43">
        <v>2</v>
      </c>
      <c r="AC4" s="24">
        <v>1</v>
      </c>
    </row>
    <row r="5" spans="1:29" x14ac:dyDescent="0.35">
      <c r="A5" s="68" t="s">
        <v>919</v>
      </c>
      <c r="B5" s="65">
        <v>100</v>
      </c>
      <c r="C5" s="65">
        <v>28</v>
      </c>
      <c r="D5" s="66">
        <v>13</v>
      </c>
      <c r="E5" s="65"/>
      <c r="F5" s="65"/>
      <c r="G5" s="66"/>
      <c r="H5" s="66"/>
      <c r="I5" s="66"/>
      <c r="J5" s="66"/>
      <c r="K5" s="66"/>
      <c r="L5" s="66"/>
      <c r="M5" s="66"/>
      <c r="N5" s="67">
        <f t="shared" si="0"/>
        <v>141</v>
      </c>
      <c r="W5" s="30" t="s">
        <v>219</v>
      </c>
      <c r="X5" s="31" t="s">
        <v>289</v>
      </c>
      <c r="Y5" s="24" t="s">
        <v>240</v>
      </c>
      <c r="Z5" s="44" t="s">
        <v>155</v>
      </c>
      <c r="AA5" s="44">
        <v>5</v>
      </c>
      <c r="AB5" s="43">
        <v>1</v>
      </c>
      <c r="AC5" s="24">
        <v>1</v>
      </c>
    </row>
    <row r="6" spans="1:29" x14ac:dyDescent="0.35">
      <c r="A6" s="63" t="s">
        <v>122</v>
      </c>
      <c r="B6" s="64"/>
      <c r="C6" s="64"/>
      <c r="D6" s="70"/>
      <c r="E6" s="70"/>
      <c r="F6" s="65"/>
      <c r="G6" s="65"/>
      <c r="H6" s="65"/>
      <c r="I6" s="65"/>
      <c r="J6" s="65"/>
      <c r="K6" s="66"/>
      <c r="L6" s="66"/>
      <c r="M6" s="66"/>
      <c r="N6" s="67">
        <f t="shared" si="0"/>
        <v>0</v>
      </c>
      <c r="W6" s="30" t="s">
        <v>219</v>
      </c>
      <c r="X6" s="31" t="s">
        <v>293</v>
      </c>
      <c r="Y6" s="26" t="s">
        <v>236</v>
      </c>
      <c r="Z6" s="44" t="s">
        <v>155</v>
      </c>
      <c r="AA6" s="44">
        <v>42</v>
      </c>
      <c r="AB6" s="43">
        <v>3</v>
      </c>
      <c r="AC6" s="24">
        <v>1</v>
      </c>
    </row>
    <row r="7" spans="1:29" x14ac:dyDescent="0.35">
      <c r="A7" s="68" t="s">
        <v>920</v>
      </c>
      <c r="B7" s="66">
        <v>2062</v>
      </c>
      <c r="C7" s="66">
        <v>1245</v>
      </c>
      <c r="D7" s="65"/>
      <c r="E7" s="65"/>
      <c r="F7" s="66"/>
      <c r="G7" s="66"/>
      <c r="H7" s="66"/>
      <c r="I7" s="66"/>
      <c r="J7" s="66"/>
      <c r="K7" s="66"/>
      <c r="L7" s="66"/>
      <c r="M7" s="66"/>
      <c r="N7" s="67">
        <f t="shared" si="0"/>
        <v>3307</v>
      </c>
      <c r="W7" s="30" t="s">
        <v>219</v>
      </c>
      <c r="X7" s="31" t="s">
        <v>293</v>
      </c>
      <c r="Y7" s="26" t="s">
        <v>246</v>
      </c>
      <c r="Z7" s="44" t="s">
        <v>155</v>
      </c>
      <c r="AA7" s="44">
        <v>52</v>
      </c>
      <c r="AB7" s="49" t="s">
        <v>153</v>
      </c>
      <c r="AC7" s="49">
        <v>5</v>
      </c>
    </row>
    <row r="8" spans="1:29" x14ac:dyDescent="0.35">
      <c r="A8" s="63" t="s">
        <v>132</v>
      </c>
      <c r="B8" s="64"/>
      <c r="C8" s="64"/>
      <c r="D8" s="64"/>
      <c r="E8" s="64"/>
      <c r="F8" s="65"/>
      <c r="G8" s="65"/>
      <c r="H8" s="65"/>
      <c r="I8" s="65"/>
      <c r="J8" s="65"/>
      <c r="K8" s="66"/>
      <c r="L8" s="66"/>
      <c r="M8" s="66"/>
      <c r="N8" s="67">
        <f t="shared" si="0"/>
        <v>0</v>
      </c>
      <c r="W8" s="30" t="s">
        <v>219</v>
      </c>
      <c r="X8" s="31" t="s">
        <v>295</v>
      </c>
      <c r="Y8" s="24" t="s">
        <v>240</v>
      </c>
      <c r="Z8" s="44" t="s">
        <v>155</v>
      </c>
      <c r="AA8" s="44">
        <v>30</v>
      </c>
      <c r="AB8" s="43">
        <v>8</v>
      </c>
      <c r="AC8" s="24">
        <v>4</v>
      </c>
    </row>
    <row r="9" spans="1:29" x14ac:dyDescent="0.35">
      <c r="A9" s="63" t="s">
        <v>921</v>
      </c>
      <c r="B9" s="71">
        <f t="shared" ref="B9:M9" si="1">SUM(B3:B8)</f>
        <v>2906</v>
      </c>
      <c r="C9" s="71">
        <f t="shared" si="1"/>
        <v>1669</v>
      </c>
      <c r="D9" s="71">
        <f t="shared" si="1"/>
        <v>24.87</v>
      </c>
      <c r="E9" s="71">
        <f t="shared" si="1"/>
        <v>4.3600000000000003</v>
      </c>
      <c r="F9" s="71">
        <f t="shared" si="1"/>
        <v>19.13</v>
      </c>
      <c r="G9" s="71">
        <f t="shared" si="1"/>
        <v>46.48</v>
      </c>
      <c r="H9" s="71">
        <f t="shared" si="1"/>
        <v>0</v>
      </c>
      <c r="I9" s="71">
        <f t="shared" si="1"/>
        <v>0</v>
      </c>
      <c r="J9" s="71">
        <f t="shared" si="1"/>
        <v>0</v>
      </c>
      <c r="K9" s="71">
        <f t="shared" si="1"/>
        <v>0</v>
      </c>
      <c r="L9" s="71">
        <f t="shared" si="1"/>
        <v>0</v>
      </c>
      <c r="M9" s="71">
        <f t="shared" si="1"/>
        <v>0</v>
      </c>
      <c r="N9" s="67">
        <f t="shared" si="0"/>
        <v>4669.8399999999992</v>
      </c>
      <c r="W9" s="30" t="s">
        <v>219</v>
      </c>
      <c r="X9" s="31" t="s">
        <v>295</v>
      </c>
      <c r="Y9" s="26" t="s">
        <v>250</v>
      </c>
      <c r="Z9" s="44" t="s">
        <v>155</v>
      </c>
      <c r="AA9" s="44">
        <v>6</v>
      </c>
      <c r="AB9" s="43">
        <v>1</v>
      </c>
      <c r="AC9" s="24">
        <v>0</v>
      </c>
    </row>
    <row r="10" spans="1:29" x14ac:dyDescent="0.35">
      <c r="W10" s="30" t="s">
        <v>219</v>
      </c>
      <c r="X10" s="31" t="s">
        <v>298</v>
      </c>
      <c r="Y10" s="26" t="s">
        <v>246</v>
      </c>
      <c r="Z10" s="44" t="s">
        <v>155</v>
      </c>
      <c r="AA10" s="44">
        <v>12</v>
      </c>
      <c r="AB10" s="60" t="s">
        <v>153</v>
      </c>
      <c r="AC10" s="43">
        <v>1</v>
      </c>
    </row>
    <row r="11" spans="1:29" x14ac:dyDescent="0.35">
      <c r="W11" s="30" t="s">
        <v>219</v>
      </c>
      <c r="X11" s="31" t="s">
        <v>298</v>
      </c>
      <c r="Y11" s="26" t="s">
        <v>250</v>
      </c>
      <c r="Z11" s="44" t="s">
        <v>155</v>
      </c>
      <c r="AA11" s="44">
        <v>6</v>
      </c>
      <c r="AB11" s="73">
        <v>0.62487167119979903</v>
      </c>
      <c r="AC11" s="73">
        <v>0.31243583559989951</v>
      </c>
    </row>
    <row r="12" spans="1:29" ht="15" thickBot="1" x14ac:dyDescent="0.4">
      <c r="W12" s="30" t="s">
        <v>219</v>
      </c>
      <c r="X12" s="31" t="s">
        <v>298</v>
      </c>
      <c r="Y12" s="24" t="s">
        <v>240</v>
      </c>
      <c r="Z12" s="44" t="s">
        <v>155</v>
      </c>
      <c r="AA12" s="44">
        <v>20</v>
      </c>
      <c r="AB12" s="43">
        <v>5</v>
      </c>
      <c r="AC12" s="43">
        <v>3</v>
      </c>
    </row>
    <row r="13" spans="1:29" ht="17" thickBot="1" x14ac:dyDescent="0.4">
      <c r="A13" s="119" t="s">
        <v>922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2"/>
      <c r="W13" s="30" t="s">
        <v>219</v>
      </c>
      <c r="X13" s="31" t="s">
        <v>299</v>
      </c>
      <c r="Y13" s="26" t="s">
        <v>236</v>
      </c>
      <c r="Z13" s="44" t="s">
        <v>155</v>
      </c>
      <c r="AA13" s="44">
        <v>12</v>
      </c>
      <c r="AB13" s="73">
        <v>0.6056204706444438</v>
      </c>
      <c r="AC13" s="73">
        <v>0.3028102353222219</v>
      </c>
    </row>
    <row r="14" spans="1:29" x14ac:dyDescent="0.35">
      <c r="A14" s="61" t="s">
        <v>101</v>
      </c>
      <c r="B14" s="62">
        <v>43556</v>
      </c>
      <c r="C14" s="62">
        <v>43586</v>
      </c>
      <c r="D14" s="62">
        <v>43617</v>
      </c>
      <c r="E14" s="62">
        <v>43647</v>
      </c>
      <c r="F14" s="62">
        <v>43678</v>
      </c>
      <c r="G14" s="62">
        <v>43709</v>
      </c>
      <c r="H14" s="62">
        <v>43739</v>
      </c>
      <c r="I14" s="62">
        <v>43770</v>
      </c>
      <c r="J14" s="62">
        <v>43800</v>
      </c>
      <c r="K14" s="62">
        <v>43831</v>
      </c>
      <c r="L14" s="62">
        <v>43862</v>
      </c>
      <c r="M14" s="62">
        <v>43891</v>
      </c>
      <c r="N14" s="61" t="s">
        <v>916</v>
      </c>
      <c r="W14" s="30" t="s">
        <v>219</v>
      </c>
      <c r="X14" s="31" t="s">
        <v>299</v>
      </c>
      <c r="Y14" s="26" t="s">
        <v>250</v>
      </c>
      <c r="Z14" s="44" t="s">
        <v>155</v>
      </c>
      <c r="AA14" s="44">
        <v>6</v>
      </c>
      <c r="AB14" s="43">
        <v>1</v>
      </c>
      <c r="AC14" s="43">
        <v>0</v>
      </c>
    </row>
    <row r="15" spans="1:29" x14ac:dyDescent="0.35">
      <c r="A15" s="68" t="s">
        <v>917</v>
      </c>
      <c r="B15" s="69">
        <v>1</v>
      </c>
      <c r="C15" s="69"/>
      <c r="D15" s="70"/>
      <c r="E15" s="70"/>
      <c r="F15" s="66"/>
      <c r="G15" s="65"/>
      <c r="H15" s="65"/>
      <c r="I15" s="65"/>
      <c r="J15" s="65"/>
      <c r="K15" s="66"/>
      <c r="L15" s="66"/>
      <c r="M15" s="66"/>
      <c r="N15" s="67">
        <f t="shared" ref="N15:N21" si="2">SUM(B15:M15)</f>
        <v>1</v>
      </c>
      <c r="W15" s="30" t="s">
        <v>219</v>
      </c>
      <c r="X15" s="31" t="s">
        <v>299</v>
      </c>
      <c r="Y15" s="26" t="s">
        <v>246</v>
      </c>
      <c r="Z15" s="44" t="s">
        <v>155</v>
      </c>
      <c r="AA15" s="44">
        <v>7890</v>
      </c>
      <c r="AB15" s="60" t="s">
        <v>153</v>
      </c>
      <c r="AC15" s="43">
        <v>789</v>
      </c>
    </row>
    <row r="16" spans="1:29" x14ac:dyDescent="0.35">
      <c r="A16" s="68" t="s">
        <v>918</v>
      </c>
      <c r="B16" s="65">
        <f>3+8+232+3+1</f>
        <v>247</v>
      </c>
      <c r="C16" s="65">
        <f>1+4+211+2</f>
        <v>218</v>
      </c>
      <c r="D16" s="66">
        <f>1+10+465+3+1794</f>
        <v>2273</v>
      </c>
      <c r="E16" s="65">
        <f>186+6+138+1+12+1</f>
        <v>344</v>
      </c>
      <c r="F16" s="65"/>
      <c r="G16" s="66"/>
      <c r="H16" s="66"/>
      <c r="I16" s="66"/>
      <c r="J16" s="66"/>
      <c r="K16" s="66"/>
      <c r="L16" s="66"/>
      <c r="M16" s="66"/>
      <c r="N16" s="67">
        <f t="shared" si="2"/>
        <v>3082</v>
      </c>
      <c r="W16" s="30" t="s">
        <v>219</v>
      </c>
      <c r="X16" s="31" t="s">
        <v>322</v>
      </c>
      <c r="Y16" s="24" t="s">
        <v>240</v>
      </c>
      <c r="Z16" s="44" t="s">
        <v>155</v>
      </c>
      <c r="AA16" s="44">
        <v>12</v>
      </c>
      <c r="AB16" s="43">
        <v>3.0784543007612251</v>
      </c>
      <c r="AC16" s="43">
        <v>1.5392271503806125</v>
      </c>
    </row>
    <row r="17" spans="1:29" x14ac:dyDescent="0.35">
      <c r="A17" s="68" t="s">
        <v>919</v>
      </c>
      <c r="B17" s="65">
        <v>1</v>
      </c>
      <c r="C17" s="65">
        <v>1</v>
      </c>
      <c r="D17" s="66">
        <v>4</v>
      </c>
      <c r="E17" s="65"/>
      <c r="F17" s="65"/>
      <c r="G17" s="66"/>
      <c r="H17" s="66"/>
      <c r="I17" s="66"/>
      <c r="J17" s="66"/>
      <c r="K17" s="66"/>
      <c r="L17" s="66"/>
      <c r="M17" s="66"/>
      <c r="N17" s="67">
        <f t="shared" si="2"/>
        <v>6</v>
      </c>
      <c r="W17" s="30" t="s">
        <v>219</v>
      </c>
      <c r="X17" s="31" t="s">
        <v>312</v>
      </c>
      <c r="Y17" s="26" t="s">
        <v>250</v>
      </c>
      <c r="Z17" s="44" t="s">
        <v>155</v>
      </c>
      <c r="AA17" s="44">
        <v>5</v>
      </c>
      <c r="AB17" s="74">
        <v>0.62239301204681396</v>
      </c>
      <c r="AC17" s="73">
        <v>0.31119650602340698</v>
      </c>
    </row>
    <row r="18" spans="1:29" x14ac:dyDescent="0.35">
      <c r="A18" s="63" t="s">
        <v>122</v>
      </c>
      <c r="B18" s="64"/>
      <c r="C18" s="64"/>
      <c r="D18" s="70"/>
      <c r="E18" s="70"/>
      <c r="F18" s="65"/>
      <c r="G18" s="65"/>
      <c r="H18" s="65"/>
      <c r="I18" s="65"/>
      <c r="J18" s="65"/>
      <c r="K18" s="66"/>
      <c r="L18" s="66"/>
      <c r="M18" s="66"/>
      <c r="N18" s="67">
        <f t="shared" si="2"/>
        <v>0</v>
      </c>
      <c r="W18" s="30" t="s">
        <v>219</v>
      </c>
      <c r="X18" s="31" t="s">
        <v>312</v>
      </c>
      <c r="Y18" s="26" t="s">
        <v>236</v>
      </c>
      <c r="Z18" s="44" t="s">
        <v>155</v>
      </c>
      <c r="AA18" s="44">
        <v>22</v>
      </c>
      <c r="AB18" s="43">
        <v>1.1499999999999999</v>
      </c>
      <c r="AC18" s="43">
        <v>0.57999999999999996</v>
      </c>
    </row>
    <row r="19" spans="1:29" x14ac:dyDescent="0.35">
      <c r="A19" s="68" t="s">
        <v>920</v>
      </c>
      <c r="B19" s="66"/>
      <c r="C19" s="66"/>
      <c r="D19" s="65"/>
      <c r="E19" s="65"/>
      <c r="F19" s="66"/>
      <c r="G19" s="66"/>
      <c r="H19" s="66"/>
      <c r="I19" s="66"/>
      <c r="J19" s="66"/>
      <c r="K19" s="66"/>
      <c r="L19" s="66"/>
      <c r="M19" s="66"/>
      <c r="N19" s="67">
        <f t="shared" si="2"/>
        <v>0</v>
      </c>
      <c r="W19" s="30" t="s">
        <v>219</v>
      </c>
      <c r="X19" s="31" t="s">
        <v>334</v>
      </c>
      <c r="Y19" s="26" t="s">
        <v>246</v>
      </c>
      <c r="Z19" s="44" t="s">
        <v>155</v>
      </c>
      <c r="AA19" s="44">
        <v>30179</v>
      </c>
      <c r="AB19" s="60" t="s">
        <v>153</v>
      </c>
      <c r="AC19" s="43">
        <v>3017.9</v>
      </c>
    </row>
    <row r="20" spans="1:29" x14ac:dyDescent="0.35">
      <c r="A20" s="63" t="s">
        <v>132</v>
      </c>
      <c r="B20" s="64"/>
      <c r="C20" s="64"/>
      <c r="D20" s="64"/>
      <c r="E20" s="64"/>
      <c r="F20" s="65"/>
      <c r="G20" s="65"/>
      <c r="H20" s="65"/>
      <c r="I20" s="65"/>
      <c r="J20" s="65"/>
      <c r="K20" s="66"/>
      <c r="L20" s="66"/>
      <c r="M20" s="66"/>
      <c r="N20" s="67">
        <f t="shared" si="2"/>
        <v>0</v>
      </c>
      <c r="W20" s="30" t="s">
        <v>219</v>
      </c>
      <c r="X20" s="31" t="s">
        <v>319</v>
      </c>
      <c r="Y20" s="26" t="s">
        <v>250</v>
      </c>
      <c r="Z20" s="44" t="s">
        <v>155</v>
      </c>
      <c r="AA20" s="44">
        <v>25</v>
      </c>
      <c r="AB20" s="43">
        <v>3</v>
      </c>
      <c r="AC20" s="43">
        <v>1</v>
      </c>
    </row>
    <row r="21" spans="1:29" x14ac:dyDescent="0.35">
      <c r="A21" s="63" t="s">
        <v>921</v>
      </c>
      <c r="B21" s="71">
        <f t="shared" ref="B21:M21" si="3">SUM(B15:B20)</f>
        <v>249</v>
      </c>
      <c r="C21" s="71">
        <f t="shared" si="3"/>
        <v>219</v>
      </c>
      <c r="D21" s="71">
        <f t="shared" si="3"/>
        <v>2277</v>
      </c>
      <c r="E21" s="71">
        <f t="shared" si="3"/>
        <v>344</v>
      </c>
      <c r="F21" s="71">
        <f t="shared" si="3"/>
        <v>0</v>
      </c>
      <c r="G21" s="71">
        <f t="shared" si="3"/>
        <v>0</v>
      </c>
      <c r="H21" s="71">
        <f t="shared" si="3"/>
        <v>0</v>
      </c>
      <c r="I21" s="71">
        <f t="shared" si="3"/>
        <v>0</v>
      </c>
      <c r="J21" s="71">
        <f t="shared" si="3"/>
        <v>0</v>
      </c>
      <c r="K21" s="71">
        <f t="shared" si="3"/>
        <v>0</v>
      </c>
      <c r="L21" s="71">
        <f t="shared" si="3"/>
        <v>0</v>
      </c>
      <c r="M21" s="71">
        <f t="shared" si="3"/>
        <v>0</v>
      </c>
      <c r="N21" s="67">
        <f t="shared" si="2"/>
        <v>3089</v>
      </c>
      <c r="W21" s="30" t="s">
        <v>219</v>
      </c>
      <c r="X21" s="31" t="s">
        <v>319</v>
      </c>
      <c r="Y21" s="26" t="s">
        <v>236</v>
      </c>
      <c r="Z21" s="44" t="s">
        <v>155</v>
      </c>
      <c r="AA21" s="44">
        <v>19</v>
      </c>
      <c r="AB21" s="43">
        <v>0.85794915295666196</v>
      </c>
      <c r="AC21" s="43">
        <v>0.42897457647833098</v>
      </c>
    </row>
    <row r="22" spans="1:29" x14ac:dyDescent="0.35">
      <c r="W22" s="30" t="s">
        <v>219</v>
      </c>
      <c r="X22" s="31" t="s">
        <v>321</v>
      </c>
      <c r="Y22" s="26" t="s">
        <v>250</v>
      </c>
      <c r="Z22" s="44" t="s">
        <v>155</v>
      </c>
      <c r="AA22" s="44">
        <v>209</v>
      </c>
      <c r="AB22" s="43">
        <v>21.809579182863231</v>
      </c>
      <c r="AC22" s="43">
        <v>10.904789591431616</v>
      </c>
    </row>
    <row r="23" spans="1:29" x14ac:dyDescent="0.35">
      <c r="W23" s="30" t="s">
        <v>219</v>
      </c>
      <c r="X23" s="31" t="s">
        <v>321</v>
      </c>
      <c r="Y23" s="26" t="s">
        <v>236</v>
      </c>
      <c r="Z23" s="44" t="s">
        <v>155</v>
      </c>
      <c r="AA23" s="44">
        <v>134</v>
      </c>
      <c r="AB23" s="43">
        <v>6.0188169615864009</v>
      </c>
      <c r="AC23" s="43">
        <v>3.0094084807932004</v>
      </c>
    </row>
    <row r="24" spans="1:29" x14ac:dyDescent="0.35">
      <c r="W24" s="30" t="s">
        <v>219</v>
      </c>
      <c r="X24" s="31" t="s">
        <v>321</v>
      </c>
      <c r="Y24" s="26" t="s">
        <v>296</v>
      </c>
      <c r="Z24" s="44" t="s">
        <v>155</v>
      </c>
      <c r="AA24" s="44">
        <v>1</v>
      </c>
      <c r="AB24" s="43">
        <v>0.40377807708755664</v>
      </c>
      <c r="AC24" s="43">
        <v>0.16151123083502267</v>
      </c>
    </row>
    <row r="25" spans="1:29" x14ac:dyDescent="0.35">
      <c r="W25" s="30" t="s">
        <v>219</v>
      </c>
      <c r="X25" s="31" t="s">
        <v>321</v>
      </c>
      <c r="Y25" s="24" t="s">
        <v>240</v>
      </c>
      <c r="Z25" s="44" t="s">
        <v>155</v>
      </c>
      <c r="AA25" s="44">
        <v>9</v>
      </c>
      <c r="AB25" s="43">
        <v>2</v>
      </c>
      <c r="AC25" s="43">
        <v>1</v>
      </c>
    </row>
    <row r="26" spans="1:29" x14ac:dyDescent="0.35">
      <c r="W26" s="30" t="s">
        <v>219</v>
      </c>
      <c r="X26" s="31" t="s">
        <v>321</v>
      </c>
      <c r="Y26" s="26" t="s">
        <v>290</v>
      </c>
      <c r="Z26" s="44" t="s">
        <v>155</v>
      </c>
      <c r="AA26" s="44">
        <v>385</v>
      </c>
      <c r="AB26" s="43">
        <v>27.655041030155218</v>
      </c>
      <c r="AC26" s="43">
        <v>13.827520515077609</v>
      </c>
    </row>
    <row r="27" spans="1:29" x14ac:dyDescent="0.35">
      <c r="W27" s="30" t="s">
        <v>219</v>
      </c>
      <c r="X27" s="31" t="s">
        <v>333</v>
      </c>
      <c r="Y27" s="26" t="s">
        <v>236</v>
      </c>
      <c r="Z27" s="44" t="s">
        <v>155</v>
      </c>
      <c r="AA27" s="44">
        <v>60</v>
      </c>
      <c r="AB27" s="43">
        <v>2</v>
      </c>
      <c r="AC27" s="43">
        <v>1</v>
      </c>
    </row>
    <row r="28" spans="1:29" x14ac:dyDescent="0.35">
      <c r="W28" s="30" t="s">
        <v>219</v>
      </c>
      <c r="X28" s="31" t="s">
        <v>333</v>
      </c>
      <c r="Y28" s="26" t="s">
        <v>296</v>
      </c>
      <c r="Z28" s="44" t="s">
        <v>155</v>
      </c>
      <c r="AA28" s="44">
        <v>2</v>
      </c>
      <c r="AB28" s="43">
        <v>0.20447300374507901</v>
      </c>
      <c r="AC28" s="43">
        <v>0.10223650187253951</v>
      </c>
    </row>
    <row r="29" spans="1:29" x14ac:dyDescent="0.35">
      <c r="W29" s="30" t="s">
        <v>219</v>
      </c>
      <c r="X29" s="31" t="s">
        <v>333</v>
      </c>
      <c r="Y29" s="26" t="s">
        <v>290</v>
      </c>
      <c r="Z29" s="44" t="s">
        <v>155</v>
      </c>
      <c r="AA29" s="44">
        <v>329</v>
      </c>
      <c r="AB29" s="43">
        <v>17.505721590980983</v>
      </c>
      <c r="AC29" s="43">
        <v>8.7528607954904913</v>
      </c>
    </row>
    <row r="30" spans="1:29" x14ac:dyDescent="0.35">
      <c r="W30" s="30" t="s">
        <v>219</v>
      </c>
      <c r="X30" s="31" t="s">
        <v>333</v>
      </c>
      <c r="Y30" s="24" t="s">
        <v>240</v>
      </c>
      <c r="Z30" s="44" t="s">
        <v>155</v>
      </c>
      <c r="AA30" s="44">
        <v>4</v>
      </c>
      <c r="AB30" s="43">
        <v>0.72415726184844698</v>
      </c>
      <c r="AC30" s="43">
        <v>0.36207863092422349</v>
      </c>
    </row>
    <row r="31" spans="1:29" x14ac:dyDescent="0.35">
      <c r="W31" s="30" t="s">
        <v>219</v>
      </c>
      <c r="X31" s="31" t="s">
        <v>354</v>
      </c>
      <c r="Y31" s="26" t="s">
        <v>250</v>
      </c>
      <c r="Z31" s="44" t="s">
        <v>155</v>
      </c>
      <c r="AA31" s="44">
        <v>227</v>
      </c>
      <c r="AB31" s="43">
        <v>21.570410743355733</v>
      </c>
      <c r="AC31" s="43">
        <v>10.785205371677867</v>
      </c>
    </row>
    <row r="32" spans="1:29" x14ac:dyDescent="0.35">
      <c r="W32" s="30" t="s">
        <v>219</v>
      </c>
      <c r="X32" s="31" t="s">
        <v>344</v>
      </c>
      <c r="Y32" s="26" t="s">
        <v>296</v>
      </c>
      <c r="Z32" s="44" t="s">
        <v>155</v>
      </c>
      <c r="AA32" s="44">
        <v>1</v>
      </c>
      <c r="AB32" s="43">
        <v>0.100207298994064</v>
      </c>
      <c r="AC32" s="43">
        <v>5.0103649497031999E-2</v>
      </c>
    </row>
    <row r="33" spans="23:29" x14ac:dyDescent="0.35">
      <c r="W33" s="30" t="s">
        <v>219</v>
      </c>
      <c r="X33" s="31" t="s">
        <v>344</v>
      </c>
      <c r="Y33" s="26" t="s">
        <v>236</v>
      </c>
      <c r="Z33" s="44" t="s">
        <v>155</v>
      </c>
      <c r="AA33" s="44">
        <v>55</v>
      </c>
      <c r="AB33" s="43">
        <v>2.156198752597863</v>
      </c>
      <c r="AC33" s="43">
        <v>1.0780993762989315</v>
      </c>
    </row>
    <row r="34" spans="23:29" x14ac:dyDescent="0.35">
      <c r="W34" s="30" t="s">
        <v>219</v>
      </c>
      <c r="X34" s="31" t="s">
        <v>344</v>
      </c>
      <c r="Y34" s="24" t="s">
        <v>240</v>
      </c>
      <c r="Z34" s="44" t="s">
        <v>155</v>
      </c>
      <c r="AA34" s="44">
        <v>3</v>
      </c>
      <c r="AB34" s="43">
        <v>0.65340697765350408</v>
      </c>
      <c r="AC34" s="43">
        <v>0.32670348882675204</v>
      </c>
    </row>
    <row r="35" spans="23:29" x14ac:dyDescent="0.35">
      <c r="W35" s="30" t="s">
        <v>219</v>
      </c>
      <c r="X35" s="31" t="s">
        <v>344</v>
      </c>
      <c r="Y35" s="26" t="s">
        <v>290</v>
      </c>
      <c r="Z35" s="44" t="s">
        <v>155</v>
      </c>
      <c r="AA35" s="44">
        <v>184</v>
      </c>
      <c r="AB35" s="43">
        <v>8.2713634177329745</v>
      </c>
      <c r="AC35" s="43">
        <v>4.1356817088664872</v>
      </c>
    </row>
    <row r="36" spans="23:29" x14ac:dyDescent="0.35">
      <c r="W36" s="30" t="s">
        <v>219</v>
      </c>
      <c r="X36" s="80" t="s">
        <v>351</v>
      </c>
      <c r="Y36" s="26" t="s">
        <v>246</v>
      </c>
      <c r="Z36" s="44" t="s">
        <v>155</v>
      </c>
      <c r="AA36" s="44">
        <v>16022</v>
      </c>
      <c r="AB36" s="60" t="s">
        <v>153</v>
      </c>
      <c r="AC36" s="43">
        <v>1361.9370451362145</v>
      </c>
    </row>
    <row r="37" spans="23:29" x14ac:dyDescent="0.35">
      <c r="W37" s="30" t="s">
        <v>219</v>
      </c>
      <c r="X37" s="80" t="s">
        <v>352</v>
      </c>
      <c r="Y37" s="26" t="s">
        <v>296</v>
      </c>
      <c r="Z37" s="44" t="s">
        <v>155</v>
      </c>
      <c r="AA37" s="44">
        <v>1</v>
      </c>
      <c r="AB37" s="43">
        <v>0.10069879889488199</v>
      </c>
      <c r="AC37" s="43">
        <v>5.0349399447440997E-2</v>
      </c>
    </row>
    <row r="38" spans="23:29" x14ac:dyDescent="0.35">
      <c r="W38" s="30" t="s">
        <v>219</v>
      </c>
      <c r="X38" s="31" t="s">
        <v>352</v>
      </c>
      <c r="Y38" s="26" t="s">
        <v>236</v>
      </c>
      <c r="Z38" s="44" t="s">
        <v>155</v>
      </c>
      <c r="AA38" s="44">
        <v>51</v>
      </c>
      <c r="AB38" s="43">
        <v>2.1121045500776039</v>
      </c>
      <c r="AC38" s="43">
        <v>1.0560522750388019</v>
      </c>
    </row>
    <row r="39" spans="23:29" x14ac:dyDescent="0.35">
      <c r="W39" s="30" t="s">
        <v>219</v>
      </c>
      <c r="X39" s="31" t="s">
        <v>352</v>
      </c>
      <c r="Y39" s="24" t="s">
        <v>240</v>
      </c>
      <c r="Z39" s="44" t="s">
        <v>155</v>
      </c>
      <c r="AA39" s="44">
        <v>3</v>
      </c>
      <c r="AB39" s="43">
        <v>0.58228440210223276</v>
      </c>
      <c r="AC39" s="43">
        <v>0.29114220105111638</v>
      </c>
    </row>
    <row r="40" spans="23:29" x14ac:dyDescent="0.35">
      <c r="W40" s="30" t="s">
        <v>219</v>
      </c>
      <c r="X40" s="31" t="s">
        <v>353</v>
      </c>
      <c r="Y40" s="26" t="s">
        <v>250</v>
      </c>
      <c r="Z40" s="44" t="s">
        <v>155</v>
      </c>
      <c r="AA40" s="44">
        <v>77</v>
      </c>
      <c r="AB40" s="43">
        <v>4.9487562477588689</v>
      </c>
      <c r="AC40" s="43">
        <v>2.4743781238794345</v>
      </c>
    </row>
  </sheetData>
  <autoFilter ref="W1:AC1" xr:uid="{00000000-0009-0000-0000-000010000000}">
    <sortState xmlns:xlrd2="http://schemas.microsoft.com/office/spreadsheetml/2017/richdata2" ref="W2:AC31">
      <sortCondition ref="X1"/>
    </sortState>
  </autoFilter>
  <mergeCells count="2">
    <mergeCell ref="A1:N1"/>
    <mergeCell ref="A13:N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5"/>
  <sheetViews>
    <sheetView workbookViewId="0">
      <selection activeCell="B19" sqref="B19"/>
    </sheetView>
  </sheetViews>
  <sheetFormatPr defaultRowHeight="14.5" x14ac:dyDescent="0.35"/>
  <cols>
    <col min="1" max="1" width="12.453125" customWidth="1"/>
    <col min="14" max="14" width="11" customWidth="1"/>
  </cols>
  <sheetData>
    <row r="1" spans="1:14" ht="17" thickBot="1" x14ac:dyDescent="0.4">
      <c r="A1" s="119" t="s">
        <v>923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2"/>
    </row>
    <row r="2" spans="1:14" x14ac:dyDescent="0.35">
      <c r="A2" s="61" t="s">
        <v>101</v>
      </c>
      <c r="B2" s="62">
        <v>43191</v>
      </c>
      <c r="C2" s="62">
        <v>43221</v>
      </c>
      <c r="D2" s="62">
        <v>43252</v>
      </c>
      <c r="E2" s="62">
        <v>43282</v>
      </c>
      <c r="F2" s="62">
        <v>43313</v>
      </c>
      <c r="G2" s="62">
        <v>43344</v>
      </c>
      <c r="H2" s="62">
        <v>43374</v>
      </c>
      <c r="I2" s="62">
        <v>43405</v>
      </c>
      <c r="J2" s="62">
        <v>43435</v>
      </c>
      <c r="K2" s="62">
        <v>43466</v>
      </c>
      <c r="L2" s="62">
        <v>43497</v>
      </c>
      <c r="M2" s="62">
        <v>43525</v>
      </c>
      <c r="N2" s="61" t="s">
        <v>916</v>
      </c>
    </row>
    <row r="3" spans="1:14" x14ac:dyDescent="0.35">
      <c r="A3" s="68" t="s">
        <v>918</v>
      </c>
      <c r="B3" s="65"/>
      <c r="C3" s="65"/>
      <c r="D3" s="66"/>
      <c r="E3" s="65"/>
      <c r="F3" s="65"/>
      <c r="G3" s="66"/>
      <c r="H3" s="66"/>
      <c r="I3" s="66"/>
      <c r="J3" s="66"/>
      <c r="K3" s="66"/>
      <c r="L3" s="66"/>
      <c r="M3" s="66">
        <v>651</v>
      </c>
      <c r="N3" s="67">
        <f>SUM(B3:M3)</f>
        <v>651</v>
      </c>
    </row>
    <row r="4" spans="1:14" x14ac:dyDescent="0.35">
      <c r="A4" s="63" t="s">
        <v>921</v>
      </c>
      <c r="B4" s="71">
        <f t="shared" ref="B4:M4" si="0">SUM(B3:B3)</f>
        <v>0</v>
      </c>
      <c r="C4" s="71">
        <f t="shared" si="0"/>
        <v>0</v>
      </c>
      <c r="D4" s="71">
        <f t="shared" si="0"/>
        <v>0</v>
      </c>
      <c r="E4" s="71">
        <f t="shared" si="0"/>
        <v>0</v>
      </c>
      <c r="F4" s="71">
        <f t="shared" si="0"/>
        <v>0</v>
      </c>
      <c r="G4" s="71">
        <f t="shared" si="0"/>
        <v>0</v>
      </c>
      <c r="H4" s="71">
        <f t="shared" si="0"/>
        <v>0</v>
      </c>
      <c r="I4" s="71">
        <f t="shared" si="0"/>
        <v>0</v>
      </c>
      <c r="J4" s="71">
        <f t="shared" si="0"/>
        <v>0</v>
      </c>
      <c r="K4" s="71">
        <f t="shared" si="0"/>
        <v>0</v>
      </c>
      <c r="L4" s="71">
        <f t="shared" si="0"/>
        <v>0</v>
      </c>
      <c r="M4" s="71">
        <f t="shared" si="0"/>
        <v>651</v>
      </c>
      <c r="N4" s="67">
        <f>SUM(B4:M4)</f>
        <v>651</v>
      </c>
    </row>
    <row r="7" spans="1:14" ht="15" thickBot="1" x14ac:dyDescent="0.4"/>
    <row r="8" spans="1:14" ht="17" thickBot="1" x14ac:dyDescent="0.4">
      <c r="A8" s="119" t="s">
        <v>924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2"/>
    </row>
    <row r="9" spans="1:14" x14ac:dyDescent="0.35">
      <c r="A9" s="61" t="s">
        <v>101</v>
      </c>
      <c r="B9" s="62">
        <v>43556</v>
      </c>
      <c r="C9" s="62">
        <v>43586</v>
      </c>
      <c r="D9" s="62">
        <v>43617</v>
      </c>
      <c r="E9" s="62">
        <v>43647</v>
      </c>
      <c r="F9" s="62">
        <v>43678</v>
      </c>
      <c r="G9" s="62">
        <v>43709</v>
      </c>
      <c r="H9" s="62">
        <v>43739</v>
      </c>
      <c r="I9" s="62">
        <v>43770</v>
      </c>
      <c r="J9" s="62">
        <v>43800</v>
      </c>
      <c r="K9" s="62">
        <v>43831</v>
      </c>
      <c r="L9" s="62">
        <v>43862</v>
      </c>
      <c r="M9" s="62">
        <v>43891</v>
      </c>
      <c r="N9" s="61" t="s">
        <v>916</v>
      </c>
    </row>
    <row r="10" spans="1:14" x14ac:dyDescent="0.35">
      <c r="A10" s="68" t="s">
        <v>925</v>
      </c>
      <c r="B10" s="69">
        <v>1</v>
      </c>
      <c r="C10" s="69"/>
      <c r="D10" s="70">
        <v>1</v>
      </c>
      <c r="E10" s="70">
        <v>21</v>
      </c>
      <c r="F10" s="66"/>
      <c r="G10" s="65"/>
      <c r="H10" s="65"/>
      <c r="I10" s="65"/>
      <c r="J10" s="65"/>
      <c r="K10" s="66"/>
      <c r="L10" s="66"/>
      <c r="M10" s="66"/>
      <c r="N10" s="67">
        <f t="shared" ref="N10:N15" si="1">SUM(B10:M10)</f>
        <v>23</v>
      </c>
    </row>
    <row r="11" spans="1:14" x14ac:dyDescent="0.35">
      <c r="A11" s="68" t="s">
        <v>910</v>
      </c>
      <c r="B11" s="65">
        <v>110</v>
      </c>
      <c r="C11" s="65">
        <v>60</v>
      </c>
      <c r="D11" s="66">
        <v>63</v>
      </c>
      <c r="E11" s="65">
        <v>64</v>
      </c>
      <c r="F11" s="65"/>
      <c r="G11" s="66"/>
      <c r="H11" s="66"/>
      <c r="I11" s="66"/>
      <c r="J11" s="66"/>
      <c r="K11" s="66"/>
      <c r="L11" s="66"/>
      <c r="M11" s="66"/>
      <c r="N11" s="67">
        <f t="shared" si="1"/>
        <v>297</v>
      </c>
    </row>
    <row r="12" spans="1:14" x14ac:dyDescent="0.35">
      <c r="A12" s="68" t="s">
        <v>926</v>
      </c>
      <c r="B12" s="65">
        <v>4</v>
      </c>
      <c r="C12" s="65">
        <v>2</v>
      </c>
      <c r="D12" s="66">
        <v>2</v>
      </c>
      <c r="E12" s="65">
        <v>1</v>
      </c>
      <c r="F12" s="65"/>
      <c r="G12" s="66"/>
      <c r="H12" s="66"/>
      <c r="I12" s="66"/>
      <c r="J12" s="66"/>
      <c r="K12" s="66"/>
      <c r="L12" s="66"/>
      <c r="M12" s="66"/>
      <c r="N12" s="67">
        <f t="shared" si="1"/>
        <v>9</v>
      </c>
    </row>
    <row r="13" spans="1:14" x14ac:dyDescent="0.35">
      <c r="A13" s="63" t="s">
        <v>927</v>
      </c>
      <c r="B13" s="64"/>
      <c r="C13" s="64">
        <v>639</v>
      </c>
      <c r="D13" s="70">
        <v>780</v>
      </c>
      <c r="E13" s="70">
        <v>670</v>
      </c>
      <c r="F13" s="65"/>
      <c r="G13" s="65"/>
      <c r="H13" s="65"/>
      <c r="I13" s="65"/>
      <c r="J13" s="65"/>
      <c r="K13" s="66"/>
      <c r="L13" s="66"/>
      <c r="M13" s="66"/>
      <c r="N13" s="67">
        <f t="shared" si="1"/>
        <v>2089</v>
      </c>
    </row>
    <row r="14" spans="1:14" x14ac:dyDescent="0.35">
      <c r="A14" s="63" t="s">
        <v>132</v>
      </c>
      <c r="B14" s="64">
        <v>1447</v>
      </c>
      <c r="C14" s="64">
        <v>1329</v>
      </c>
      <c r="D14" s="64">
        <v>947</v>
      </c>
      <c r="E14" s="64">
        <v>678</v>
      </c>
      <c r="F14" s="65"/>
      <c r="G14" s="65"/>
      <c r="H14" s="65"/>
      <c r="I14" s="65"/>
      <c r="J14" s="65"/>
      <c r="K14" s="66"/>
      <c r="L14" s="66"/>
      <c r="M14" s="66"/>
      <c r="N14" s="67">
        <f t="shared" si="1"/>
        <v>4401</v>
      </c>
    </row>
    <row r="15" spans="1:14" x14ac:dyDescent="0.35">
      <c r="A15" s="63" t="s">
        <v>921</v>
      </c>
      <c r="B15" s="71">
        <f t="shared" ref="B15:M15" si="2">SUM(B10:B14)</f>
        <v>1562</v>
      </c>
      <c r="C15" s="71">
        <f t="shared" si="2"/>
        <v>2030</v>
      </c>
      <c r="D15" s="71">
        <f t="shared" si="2"/>
        <v>1793</v>
      </c>
      <c r="E15" s="71">
        <f t="shared" si="2"/>
        <v>1434</v>
      </c>
      <c r="F15" s="71">
        <f t="shared" si="2"/>
        <v>0</v>
      </c>
      <c r="G15" s="71">
        <f t="shared" si="2"/>
        <v>0</v>
      </c>
      <c r="H15" s="71">
        <f t="shared" si="2"/>
        <v>0</v>
      </c>
      <c r="I15" s="71">
        <f t="shared" si="2"/>
        <v>0</v>
      </c>
      <c r="J15" s="71">
        <f t="shared" si="2"/>
        <v>0</v>
      </c>
      <c r="K15" s="71">
        <f t="shared" si="2"/>
        <v>0</v>
      </c>
      <c r="L15" s="71">
        <f t="shared" si="2"/>
        <v>0</v>
      </c>
      <c r="M15" s="71">
        <f t="shared" si="2"/>
        <v>0</v>
      </c>
      <c r="N15" s="67">
        <f t="shared" si="1"/>
        <v>6819</v>
      </c>
    </row>
  </sheetData>
  <mergeCells count="2">
    <mergeCell ref="A1:N1"/>
    <mergeCell ref="A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2014-15</vt:lpstr>
      <vt:lpstr>2015-16</vt:lpstr>
      <vt:lpstr>P&amp;L</vt:lpstr>
      <vt:lpstr>Reports Update</vt:lpstr>
      <vt:lpstr>Sheet2</vt:lpstr>
      <vt:lpstr>Payment Status</vt:lpstr>
      <vt:lpstr>Sound MG</vt:lpstr>
      <vt:lpstr>Motion Pixel</vt:lpstr>
      <vt:lpstr>PlanetVIX</vt:lpstr>
      <vt:lpstr>Magna Home Video</vt:lpstr>
      <vt:lpstr>Ssilver Screen</vt:lpstr>
      <vt:lpstr>PocketFilms</vt:lpstr>
      <vt:lpstr>Warrior Clan</vt:lpstr>
      <vt:lpstr>Morna Ent.</vt:lpstr>
      <vt:lpstr>Nishi</vt:lpstr>
      <vt:lpstr>Tan Ta Dan</vt:lpstr>
      <vt:lpstr>Aakash Intl.</vt:lpstr>
      <vt:lpstr>V3 Motion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Nishad</cp:lastModifiedBy>
  <cp:revision/>
  <dcterms:created xsi:type="dcterms:W3CDTF">2025-09-04T02:16:10Z</dcterms:created>
  <dcterms:modified xsi:type="dcterms:W3CDTF">2026-07-13T09:38:20Z</dcterms:modified>
  <cp:category/>
  <cp:contentStatus/>
</cp:coreProperties>
</file>